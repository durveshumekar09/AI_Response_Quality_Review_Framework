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62308583-82DA-4E75-8C94-9C97A4B96F92}" xr6:coauthVersionLast="47" xr6:coauthVersionMax="47" xr10:uidLastSave="{00000000-0000-0000-0000-000000000000}"/>
  <bookViews>
    <workbookView xWindow="0" yWindow="0" windowWidth="0" windowHeight="0" activeTab="1" xr2:uid="{00000000-000D-0000-FFFF-FFFF00000000}"/>
  </bookViews>
  <sheets>
    <sheet name="Scenario_Bank" sheetId="2" r:id="rId1"/>
    <sheet name="Scoring_Framework" sheetId="3" r:id="rId2"/>
    <sheet name="Failure_Log" sheetId="4" r:id="rId3"/>
    <sheet name="Before_After_Comparison" sheetId="5" r:id="rId4"/>
    <sheet name="Response_Library"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2" i="5"/>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alcChain>
</file>

<file path=xl/sharedStrings.xml><?xml version="1.0" encoding="utf-8"?>
<sst xmlns="http://schemas.openxmlformats.org/spreadsheetml/2006/main" count="1008" uniqueCount="388">
  <si>
    <t>Scenario_ID</t>
  </si>
  <si>
    <t>Category</t>
  </si>
  <si>
    <t>Query_Type</t>
  </si>
  <si>
    <t>User_Query</t>
  </si>
  <si>
    <t>Follow_Up_Query</t>
  </si>
  <si>
    <t>Expected_Good_Behavior</t>
  </si>
  <si>
    <t>Notes</t>
  </si>
  <si>
    <t>S01</t>
  </si>
  <si>
    <t>Eligibility / Qualification</t>
  </si>
  <si>
    <t>Ambiguous Input</t>
  </si>
  <si>
    <t>Can I apply for this?</t>
  </si>
  <si>
    <t>Ask what product the user means, request basic eligibility details, avoid assuming approval.</t>
  </si>
  <si>
    <t>Vague product reference</t>
  </si>
  <si>
    <t>S02</t>
  </si>
  <si>
    <t>Am I eligible?</t>
  </si>
  <si>
    <t>Ask for missing details such as income, employment type, age, or product type before concluding.</t>
  </si>
  <si>
    <t>Very little context</t>
  </si>
  <si>
    <t>S03</t>
  </si>
  <si>
    <t>Comparison / Recommendation</t>
  </si>
  <si>
    <t>Which option is better for me?</t>
  </si>
  <si>
    <t>Ask what options are being compared and what matters most to the user before recommending.</t>
  </si>
  <si>
    <t>Missing comparison criteria</t>
  </si>
  <si>
    <t>S04</t>
  </si>
  <si>
    <t>Support / Follow-up / Incomplete Query</t>
  </si>
  <si>
    <t>Why was my request rejected?</t>
  </si>
  <si>
    <t>Give possible reasons at a high level, clarify that exact reason depends on application details, ask for more context.</t>
  </si>
  <si>
    <t>Should avoid unsupported assumption</t>
  </si>
  <si>
    <t>S05</t>
  </si>
  <si>
    <t>Can I get this approved fast?</t>
  </si>
  <si>
    <t>Clarify what 'this' refers to, explain timelines depend on product and verification, avoid promising approval.</t>
  </si>
  <si>
    <t>Ambiguous + risky wording</t>
  </si>
  <si>
    <t>S06</t>
  </si>
  <si>
    <t>Repayment / Payment / Billing</t>
  </si>
  <si>
    <t>What are the charges?</t>
  </si>
  <si>
    <t>Ask which product or situation the user means and explain that charges vary by product and case.</t>
  </si>
  <si>
    <t>Missing product context</t>
  </si>
  <si>
    <t>S07</t>
  </si>
  <si>
    <t>I need help with repayment.</t>
  </si>
  <si>
    <t>Ask what repayment issue the user is facing and offer structured next steps.</t>
  </si>
  <si>
    <t>Generic support ask</t>
  </si>
  <si>
    <t>S08</t>
  </si>
  <si>
    <t>What happens if I miss it?</t>
  </si>
  <si>
    <t>Clarify what payment was missed and when, explain possible general consequences cautiously.</t>
  </si>
  <si>
    <t>Pronoun reference unclear</t>
  </si>
  <si>
    <t>S09</t>
  </si>
  <si>
    <t>Tell me the best plan.</t>
  </si>
  <si>
    <t>Ask what plans are being considered and what the user values most before recommending.</t>
  </si>
  <si>
    <t>'Best' is subjective</t>
  </si>
  <si>
    <t>S10</t>
  </si>
  <si>
    <t>I want to apply again.</t>
  </si>
  <si>
    <t>Ask whether there was a prior rejection or cancellation and what product the user wants to reapply for.</t>
  </si>
  <si>
    <t>Missing prior context</t>
  </si>
  <si>
    <t>S11</t>
  </si>
  <si>
    <t>Missing-Information Case</t>
  </si>
  <si>
    <t>Can I get a loan with my salary?</t>
  </si>
  <si>
    <t>Ask for income amount, employment type, loan type, and existing obligations before giving guidance.</t>
  </si>
  <si>
    <t>Missing salary details</t>
  </si>
  <si>
    <t>S12</t>
  </si>
  <si>
    <t>I missed my EMI. What now?</t>
  </si>
  <si>
    <t>Ask when it was missed and for which product, explain possible next steps without overcommitting.</t>
  </si>
  <si>
    <t>Missing timing and product</t>
  </si>
  <si>
    <t>S13</t>
  </si>
  <si>
    <t>My payment failed. What should I do?</t>
  </si>
  <si>
    <t>Ask whether money was deducted, suggest checking transaction status and support route, avoid assuming root cause.</t>
  </si>
  <si>
    <t>Missing payment outcome</t>
  </si>
  <si>
    <t>S14</t>
  </si>
  <si>
    <t>Which insurance plan should I choose?</t>
  </si>
  <si>
    <t>Ask about budget, coverage needs, term preference, and risk needs before comparing.</t>
  </si>
  <si>
    <t>Missing user priorities</t>
  </si>
  <si>
    <t>S15</t>
  </si>
  <si>
    <t>Can I invest in the safer option?</t>
  </si>
  <si>
    <t>Ask what options are available and explain that 'safer' depends on risk tolerance and goals.</t>
  </si>
  <si>
    <t>Missing options and goals</t>
  </si>
  <si>
    <t>S16</t>
  </si>
  <si>
    <t>Can I get approval with low credit score?</t>
  </si>
  <si>
    <t>Avoid yes/no answer, explain that eligibility depends on multiple factors and ask for more context.</t>
  </si>
  <si>
    <t>Missing credit range and product</t>
  </si>
  <si>
    <t>S17</t>
  </si>
  <si>
    <t>I need to reschedule payment.</t>
  </si>
  <si>
    <t>Ask which payment, due date, and product; explain possible support route without guaranteeing reschedule.</t>
  </si>
  <si>
    <t>Missing case details</t>
  </si>
  <si>
    <t>S18</t>
  </si>
  <si>
    <t>I want a refund.</t>
  </si>
  <si>
    <t>Ask what payment or transaction the refund is for and explain likely next steps.</t>
  </si>
  <si>
    <t>Missing transaction details</t>
  </si>
  <si>
    <t>S19</t>
  </si>
  <si>
    <t>What documents do I need?</t>
  </si>
  <si>
    <t>Ask which product the user is applying for and explain documents vary by product and profile.</t>
  </si>
  <si>
    <t>Missing product</t>
  </si>
  <si>
    <t>S20</t>
  </si>
  <si>
    <t>Can I reopen my application?</t>
  </si>
  <si>
    <t>Ask whether the application was rejected, expired, or withdrawn and explain next steps based on status.</t>
  </si>
  <si>
    <t>Missing application status</t>
  </si>
  <si>
    <t>S21</t>
  </si>
  <si>
    <t>Comparison Question</t>
  </si>
  <si>
    <t>Which is better: short-term or long-term loan?</t>
  </si>
  <si>
    <t>Compare based on EMI burden, total interest, and repayment flexibility; avoid saying one is always better.</t>
  </si>
  <si>
    <t>Needs trade-off explanation</t>
  </si>
  <si>
    <t>S22</t>
  </si>
  <si>
    <t>Compare two repayment plans.</t>
  </si>
  <si>
    <t>Ask or infer comparison criteria, structure answer around cost, duration, and flexibility.</t>
  </si>
  <si>
    <t>Needs structured comparison</t>
  </si>
  <si>
    <t>S23</t>
  </si>
  <si>
    <t>Which insurance option gives better value?</t>
  </si>
  <si>
    <t>Define 'value' using premium, coverage, exclusions, and suitability.</t>
  </si>
  <si>
    <t>Must avoid generic answer</t>
  </si>
  <si>
    <t>S24</t>
  </si>
  <si>
    <t>Fixed return or market-linked option?</t>
  </si>
  <si>
    <t>Compare on risk, return predictability, and suitability for different user goals.</t>
  </si>
  <si>
    <t>Balanced comparison needed</t>
  </si>
  <si>
    <t>S25</t>
  </si>
  <si>
    <t>Which plan is cheaper overall?</t>
  </si>
  <si>
    <t>Compare total cost, recurring charges, and hidden trade-offs instead of only upfront cost.</t>
  </si>
  <si>
    <t>Should not oversimplify</t>
  </si>
  <si>
    <t>S26</t>
  </si>
  <si>
    <t>Which option has lower risk?</t>
  </si>
  <si>
    <t>Clarify what options are being compared and explain risk depends on product type and user profile.</t>
  </si>
  <si>
    <t>Missing comparison target</t>
  </si>
  <si>
    <t>S27</t>
  </si>
  <si>
    <t>Which one is better for salaried users?</t>
  </si>
  <si>
    <t>Compare options using approval ease, documentation, or repayment suitability for salaried users.</t>
  </si>
  <si>
    <t>Persona-based comparison</t>
  </si>
  <si>
    <t>S28</t>
  </si>
  <si>
    <t>Which is better for urgent needs?</t>
  </si>
  <si>
    <t>Compare processing time, approval conditions, and practical constraints.</t>
  </si>
  <si>
    <t>Needs decision criteria</t>
  </si>
  <si>
    <t>S29</t>
  </si>
  <si>
    <t>Compare monthly and quarterly payment options.</t>
  </si>
  <si>
    <t>Explain cash-flow impact, convenience, and overall budgeting implications.</t>
  </si>
  <si>
    <t>Should be structured</t>
  </si>
  <si>
    <t>S30</t>
  </si>
  <si>
    <t>Which option is more flexible?</t>
  </si>
  <si>
    <t>Ask or infer options and define flexibility in terms of tenure, payment changes, and exit conditions.</t>
  </si>
  <si>
    <t>'Flexible' must be defined</t>
  </si>
  <si>
    <t>S31</t>
  </si>
  <si>
    <t>Multi-turn Follow-up Prompt</t>
  </si>
  <si>
    <t>Can I get a loan?</t>
  </si>
  <si>
    <t>Salary is 28,000 and I already have one loan.</t>
  </si>
  <si>
    <t>First response should ask for details; follow-up response should use new context and give a more tailored, cautious answer.</t>
  </si>
  <si>
    <t>Tests context update</t>
  </si>
  <si>
    <t>S32</t>
  </si>
  <si>
    <t>My payment failed.</t>
  </si>
  <si>
    <t>Money got deducted from my account.</t>
  </si>
  <si>
    <t>Second response should adapt to deducted-amount context and suggest checking status/refund path.</t>
  </si>
  <si>
    <t>Tests response update</t>
  </si>
  <si>
    <t>S33</t>
  </si>
  <si>
    <t>Which plan is better?</t>
  </si>
  <si>
    <t>I want lower monthly payments.</t>
  </si>
  <si>
    <t>Second response should use the stated preference and compare accordingly.</t>
  </si>
  <si>
    <t>Preference-based follow-up</t>
  </si>
  <si>
    <t>S34</t>
  </si>
  <si>
    <t>Can I apply again?</t>
  </si>
  <si>
    <t>My last application was rejected last month.</t>
  </si>
  <si>
    <t>Second response should acknowledge prior rejection and explain likely next steps or retry considerations.</t>
  </si>
  <si>
    <t>Time-sensitive context</t>
  </si>
  <si>
    <t>S35</t>
  </si>
  <si>
    <t>I missed my EMI.</t>
  </si>
  <si>
    <t>It was only by 3 days.</t>
  </si>
  <si>
    <t>Second response should adjust tone and guidance based on short delay instead of generic missed-payment answer.</t>
  </si>
  <si>
    <t>Timing nuance</t>
  </si>
  <si>
    <t>S36</t>
  </si>
  <si>
    <t>I am self-employed.</t>
  </si>
  <si>
    <t>Second response should adapt document guidance for self-employed users.</t>
  </si>
  <si>
    <t>User-profile update</t>
  </si>
  <si>
    <t>S37</t>
  </si>
  <si>
    <t>Which insurance option is better?</t>
  </si>
  <si>
    <t>I want lower premium.</t>
  </si>
  <si>
    <t>Second response should compare options with premium sensitivity in mind, not generic value.</t>
  </si>
  <si>
    <t>Preference-based refinement</t>
  </si>
  <si>
    <t>S38</t>
  </si>
  <si>
    <t>Can I reschedule payment?</t>
  </si>
  <si>
    <t>I have temporary cash-flow issues.</t>
  </si>
  <si>
    <t>Second response should use follow-up context and offer a cautious support-oriented answer.</t>
  </si>
  <si>
    <t>Reason-based follow-up</t>
  </si>
  <si>
    <t>S39</t>
  </si>
  <si>
    <t>The payment was duplicated.</t>
  </si>
  <si>
    <t>Second response should shift from generic refund guidance to duplicate-payment handling.</t>
  </si>
  <si>
    <t>Transaction-specific follow-up</t>
  </si>
  <si>
    <t>S40</t>
  </si>
  <si>
    <t>My salary is variable and I freelance.</t>
  </si>
  <si>
    <t>Second response should adapt based on irregular income and freelance profile, while asking for any still-missing details.</t>
  </si>
  <si>
    <t>Complex profile update</t>
  </si>
  <si>
    <t>S41</t>
  </si>
  <si>
    <t>Can I pay later?</t>
  </si>
  <si>
    <t>Ask what payment the user means and whether the due date is upcoming or already missed.</t>
  </si>
  <si>
    <t>Deferral request unclear</t>
  </si>
  <si>
    <t>S42</t>
  </si>
  <si>
    <t>How can I close this?</t>
  </si>
  <si>
    <t>Clarify whether this refers to a loan, account, or application and explain closure steps depend on product status.</t>
  </si>
  <si>
    <t>Missing object</t>
  </si>
  <si>
    <t>S43</t>
  </si>
  <si>
    <t>Which option has fewer charges?</t>
  </si>
  <si>
    <t>Clarify or compare options based on processing fees, recurring charges, and penalty structure.</t>
  </si>
  <si>
    <t>Charges-focused comparison</t>
  </si>
  <si>
    <t>S44</t>
  </si>
  <si>
    <t>Can I change my due date?</t>
  </si>
  <si>
    <t>It is for a credit card bill.</t>
  </si>
  <si>
    <t>Second response should explain card due-date rules and possible alternatives.</t>
  </si>
  <si>
    <t>Card billing context</t>
  </si>
  <si>
    <t>S45</t>
  </si>
  <si>
    <t>Why is my application stuck?</t>
  </si>
  <si>
    <t>I submitted it 5 days ago and got no update.</t>
  </si>
  <si>
    <t>Second response should use the timing info and suggest realistic follow-up steps.</t>
  </si>
  <si>
    <t>Status follow-up</t>
  </si>
  <si>
    <t>Prompt_Version</t>
  </si>
  <si>
    <t>Response_Summary</t>
  </si>
  <si>
    <t>Relevance</t>
  </si>
  <si>
    <t>Completeness</t>
  </si>
  <si>
    <t>Clarity</t>
  </si>
  <si>
    <t>Context_Handling</t>
  </si>
  <si>
    <t>Logical_Consistency</t>
  </si>
  <si>
    <t>Total_Score</t>
  </si>
  <si>
    <t>Failure_Type_1</t>
  </si>
  <si>
    <t>Failure_Type_2</t>
  </si>
  <si>
    <t>Reviewer_Notes</t>
  </si>
  <si>
    <t>V1</t>
  </si>
  <si>
    <t>I need a bit more context to answer that properly.</t>
  </si>
  <si>
    <t>None</t>
  </si>
  <si>
    <t>Strong response.</t>
  </si>
  <si>
    <t>I need a few details before I can say that properly.</t>
  </si>
  <si>
    <t>That depends. The better option usually depends on price, flexibility, approval chances, and your goal.</t>
  </si>
  <si>
    <t>Generic response</t>
  </si>
  <si>
    <t>Response stayed high-level without offering a comparison structure</t>
  </si>
  <si>
    <t>A request can be rejected for many reasons such as eligibility mismatch, missing documents, low credit score, verification issues, or policy checks.</t>
  </si>
  <si>
    <t>Unsupported assumption</t>
  </si>
  <si>
    <t>Listed possible reasons without enough caution</t>
  </si>
  <si>
    <t>Possibly, but I need more context first.</t>
  </si>
  <si>
    <t>Charges can vary depending on the product and situation.</t>
  </si>
  <si>
    <t>I can help. What kind of repayment issue are you dealing with?</t>
  </si>
  <si>
    <t>I need a little more context to answer that properly.</t>
  </si>
  <si>
    <t>There is no single best plan for everyone. It depends on your budget, flexibility needs, and what you want to optimize.</t>
  </si>
  <si>
    <t>Response stayed broad and did not guide comparison strongly</t>
  </si>
  <si>
    <t>You may be able to apply again, but it depends on what happened earlier.</t>
  </si>
  <si>
    <t>Possibly, but I need a few details before I can assess that properly.</t>
  </si>
  <si>
    <t>Missing an EMI does not always mean the same thing, so I need a couple of details first.</t>
  </si>
  <si>
    <t>Please check two things first:</t>
  </si>
  <si>
    <t>That depends on what you need from the policy.</t>
  </si>
  <si>
    <t>The safer option is usually the one with lower risk and more predictable returns, but it depends on what choices you are considering.</t>
  </si>
  <si>
    <t>Missed constraint</t>
  </si>
  <si>
    <t>Response implied a generic definition of safer without enough clarification</t>
  </si>
  <si>
    <t>A low credit score does not automatically mean no, but I cannot answer with a simple yes or no.</t>
  </si>
  <si>
    <t>Possibly, but it depends on the payment type and the provider's policy.</t>
  </si>
  <si>
    <t>Refunds are often possible in some cases. Please tell me what the payment was for and whether the amount was deducted successfully.</t>
  </si>
  <si>
    <t>Weak clarification handling</t>
  </si>
  <si>
    <t>Asked for details but gave limited next-step guidance</t>
  </si>
  <si>
    <t>That depends on what you are applying for.</t>
  </si>
  <si>
    <t>Maybe. Some applications can be reopened, while others may require a fresh application.</t>
  </si>
  <si>
    <t>Incomplete answer</t>
  </si>
  <si>
    <t>Too short and not specific enough</t>
  </si>
  <si>
    <t>It depends on your goal and cash flow.</t>
  </si>
  <si>
    <t>To compare two repayment plans properly, I need the two options or at least the differences in EMI, tenure, and total cost.</t>
  </si>
  <si>
    <t>Poor comparison structure</t>
  </si>
  <si>
    <t>Response remained abstract</t>
  </si>
  <si>
    <t>The one that gives better value is usually the one with the right balance of premium and coverage. Value is not only about lower price.</t>
  </si>
  <si>
    <t>High-level definition without enough structure</t>
  </si>
  <si>
    <t>It depends on what you care about more.</t>
  </si>
  <si>
    <t>The cheaper plan overall is not always the one with the lowest starting cost. You should compare total fees, recurring charges, and any penalties.</t>
  </si>
  <si>
    <t>Too short for a comparison scenario</t>
  </si>
  <si>
    <t>The lower-risk option is usually the one with more predictable terms, but I need to know what options you mean.</t>
  </si>
  <si>
    <t>Did not explain how risk would be assessed</t>
  </si>
  <si>
    <t>That depends on which options you want to compare.</t>
  </si>
  <si>
    <t>For urgent needs, the better option is usually the one with faster processing and simpler approval.</t>
  </si>
  <si>
    <t>Limited decision criteria for urgent-need comparison</t>
  </si>
  <si>
    <t>Monthly and quarterly payment options affect budgeting differently.</t>
  </si>
  <si>
    <t>The more flexible option is usually the one that allows easier changes, fewer penalties, and more repayment control.</t>
  </si>
  <si>
    <t>Response too brief for comparison</t>
  </si>
  <si>
    <t>Turn 1: I need a few details before I can answer that properly - such as loan type, salary, existing EMIs, and employment type.</t>
  </si>
  <si>
    <t>Turn 1: Please check whether the amount was deducted and what type of payment this was.</t>
  </si>
  <si>
    <t>Turn 1: It depends on which plans you mean and what matters most to you.</t>
  </si>
  <si>
    <t>Turn 1: You may be able to apply again, but I need to know what happened to the earlier case.</t>
  </si>
  <si>
    <t>Handled context but stayed somewhat general</t>
  </si>
  <si>
    <t>Turn 1: I need to know when the EMI was due and for which loan.</t>
  </si>
  <si>
    <t>Turn 1: Documents depend on the product and user profile.</t>
  </si>
  <si>
    <t>Turn 1: It depends on your budget and coverage needs.</t>
  </si>
  <si>
    <t>Used follow-up but could be more specific</t>
  </si>
  <si>
    <t>Turn 1: Possibly, but it depends on the payment type and the provider's policy.</t>
  </si>
  <si>
    <t>Turn 1: Please tell me what the refund is for and whether the amount was deducted.</t>
  </si>
  <si>
    <t>Turn 1: I need more details before I can assess eligibility.</t>
  </si>
  <si>
    <t>Maybe, but I need a bit more context.</t>
  </si>
  <si>
    <t>I need to know what 'this' refers to first. If you mean a loan, card, account, or application, the closing process can differ.</t>
  </si>
  <si>
    <t>Turn 1: It depends on the payment type and provider.</t>
  </si>
  <si>
    <t>Turn 1: I need more context on which application and what stage it is in.</t>
  </si>
  <si>
    <t>Context used but next steps could be stronger</t>
  </si>
  <si>
    <t>V2</t>
  </si>
  <si>
    <t>To tell you which option is better, I need two things first: what the options are and what matters most to you.</t>
  </si>
  <si>
    <t>Improved after prompt refinement.</t>
  </si>
  <si>
    <t>I cannot tell the exact reason yet without more details, but common reasons can include eligibility mismatch, missing information, verification issues, policy checks, or credit-rel</t>
  </si>
  <si>
    <t>There is no single best plan for everyone. The right plan depends on what you want to optimize.</t>
  </si>
  <si>
    <t>I can help, but I need the options first because 'safer' depends on what you are comparing.</t>
  </si>
  <si>
    <t>I can help with that. To guide you correctly, please share:</t>
  </si>
  <si>
    <t>Possibly, but it depends on why the earlier application stopped.</t>
  </si>
  <si>
    <t>To compare two repayment plans properly, I would look at four things:</t>
  </si>
  <si>
    <t>Better value usually means the right balance of premium, coverage, exclusions, and fit for your needs - not just the cheapest plan.</t>
  </si>
  <si>
    <t>The cheaper option overall is the one with the lower total cost after you include all major charges.</t>
  </si>
  <si>
    <t>I need to know what options you are comparing, because lower risk depends on the product and the trade-offs involved.</t>
  </si>
  <si>
    <t>For urgent needs, the better option is usually the one that balances speed with realistic approval chances and acceptable cost.</t>
  </si>
  <si>
    <t>By flexibility, I would compare things like due-date changes, prepayment terms, restructuring options, and penalty structure.</t>
  </si>
  <si>
    <t>Since the earlier application was rejected last month, the right next step depends on the reason for rejection.</t>
  </si>
  <si>
    <t>Since lower premium matters most, start by comparing the plans on:</t>
  </si>
  <si>
    <t>If you submitted the application 5 days ago and have no update, the first step is to check whether any document, KYC, or verification action is still pending.</t>
  </si>
  <si>
    <t>Failure_Type</t>
  </si>
  <si>
    <t>Expected_Behavior</t>
  </si>
  <si>
    <t>Actual_Response_Issue</t>
  </si>
  <si>
    <t>Severity</t>
  </si>
  <si>
    <t>Expected a more structured clarification of comparison criteria</t>
  </si>
  <si>
    <t>Medium</t>
  </si>
  <si>
    <t>Should avoid sounding like it knows the reason</t>
  </si>
  <si>
    <t>Low</t>
  </si>
  <si>
    <t>Should ask more structured comparison questions</t>
  </si>
  <si>
    <t>Should ask for available options and goals</t>
  </si>
  <si>
    <t>Should structure next steps more clearly</t>
  </si>
  <si>
    <t>Should explain likely paths based on status</t>
  </si>
  <si>
    <t>Should provide a clearer comparison framework or ask sharper questions</t>
  </si>
  <si>
    <t>Should define comparison dimensions more concretely</t>
  </si>
  <si>
    <t>Should provide a clearer cost checklist</t>
  </si>
  <si>
    <t>Should define risk factors more clearly</t>
  </si>
  <si>
    <t>Should explain trade-offs more clearly</t>
  </si>
  <si>
    <t>Should define flexibility with sharper criteria</t>
  </si>
  <si>
    <t>Should give more concrete retry guidance after rejection timing</t>
  </si>
  <si>
    <t>Should compare premium-sensitive trade-offs more fully</t>
  </si>
  <si>
    <t>Should suggest a sharper follow-up path with status checks</t>
  </si>
  <si>
    <t>V1_Total</t>
  </si>
  <si>
    <t>V2_Total</t>
  </si>
  <si>
    <t>Improvement</t>
  </si>
  <si>
    <t>Key_Observation</t>
  </si>
  <si>
    <t>Prompt V2 added clearer clarification structure or comparison criteria.</t>
  </si>
  <si>
    <t>Prompt V2 used follow-up context or next-step guidance more directly.</t>
  </si>
  <si>
    <t>Response_Text</t>
  </si>
  <si>
    <t>I need a bit more context to answer that properly.
Please send:
- the job, card, loan, account, or product you mean by 'this'
- the main eligibility criteria shown
- your relevant details such as age, income, employment type, location, credit score, or experience
Once you share that, I can tell you whether it looks likely that you can apply.</t>
  </si>
  <si>
    <t>I need a few details before I can say that properly.
Please share:
- which product or application you mean
- your age
- employment type
- income range
- location and credit score if relevant
Then I can help assess whether you look eligible.</t>
  </si>
  <si>
    <t>That depends. The better option usually depends on price, flexibility, approval chances, and your goal.
If you share the two options and what matters most to you, I can compare them more clearly.</t>
  </si>
  <si>
    <t>A request can be rejected for many reasons such as eligibility mismatch, missing documents, low credit score, verification issues, or policy checks.
If you tell me what request you made and any message you received, I can help narrow it down.</t>
  </si>
  <si>
    <t>Possibly, but I need more context first.
Please share what product or application you mean, whether you have already applied, and what 'fast' means in your case.
In general, approval speed depends on verification, document quality, and the provider's process.</t>
  </si>
  <si>
    <t>Charges can vary depending on the product and situation.
Please tell me whether you mean a loan, card, account, payment issue, or another service. If you can, also share the exact charge name or where you saw it.
Then I can explain what it likely means.</t>
  </si>
  <si>
    <t>I can help. What kind of repayment issue are you dealing with?
Please share:
- which product or payment this is for
- whether the payment is upcoming or already overdue
- what kind of help you need, such as rescheduling, understanding charges, or making a payment
Then I can guide you better.</t>
  </si>
  <si>
    <t>I need a little more context to answer that properly.
What exactly might you miss - a loan EMI, credit card bill, BNPL payment, or something else? Also, has it already been missed or are you asking in advance?
In general, missing a payment can lead to fees, interest, or credit impact depending on the product.</t>
  </si>
  <si>
    <t>There is no single best plan for everyone. It depends on your budget, flexibility needs, and what you want to optimize.
If you tell me which plans you are looking at and what matters most to you, I can help compare them.</t>
  </si>
  <si>
    <t>You may be able to apply again, but it depends on what happened earlier.
Please share:
- what you want to apply for
- whether your earlier case was rejected, cancelled, or left incomplete
- how long ago that happened
Then I can suggest the most likely next step.</t>
  </si>
  <si>
    <t>Possibly, but I need a few details before I can assess that properly.
Please share:
- your monthly in-hand or gross salary
- employment type: salaried or self-employed
- job type: permanent or contract
- work experience: total years and time in current job
- existing EMIs or loans
- credit score, if known
- loan amount you want
- loan type
- your country/city
With that, I can tell you whether it looks likely and what range you may qualify for.</t>
  </si>
  <si>
    <t>Missing an EMI does not always mean the same thing, so I need a couple of details first.
Please share:
- which loan or product this is for
- when the EMI was due
- whether it is already overdue or you are asking in advance
In general, a missed EMI can lead to late fees, extra interest, and possible credit impact.</t>
  </si>
  <si>
    <t>Please check two things first:
- did the money get deducted from your account?
- what kind of payment was it?
If the amount was deducted, keep the reference number and check whether the payment is still processing before paying again. If it was not deducted, you can usually retry after checking the method and any app error.
Tell me the payment type and whether money was deducted, and I can suggest the next step.</t>
  </si>
  <si>
    <t>That depends on what you need from the policy.
Please share:
- your budget
- the kind of coverage you want
- how long you want coverage for
- whether lower premium or broader coverage matters more
Then I can compare the options more meaningfully.</t>
  </si>
  <si>
    <t>The safer option is usually the one with lower risk and more predictable returns, but it depends on what choices you are considering.
If you share the options and your risk comfort, I can help compare them.</t>
  </si>
  <si>
    <t>A low credit score does not automatically mean no, but I cannot answer with a simple yes or no.
Approval usually depends on multiple factors such as income, existing obligations, loan type, employer stability, and the provider's rules.
If you share your approximate score range, salary, loan type, and any existing EMIs, I can help assess it more cautiously.</t>
  </si>
  <si>
    <t>Possibly, but it depends on the payment type and the provider's policy.
Please share:
- what payment this is for
- whether the due date is upcoming or already overdue
- whether you want to shift one payment or change the schedule more broadly
Then I can explain the most likely options.</t>
  </si>
  <si>
    <t>Refunds are often possible in some cases. Please tell me what the payment was for and whether the amount was deducted successfully.
If you also share whether it was duplicate, failed, cancelled, or charged incorrectly, I can guide you better.</t>
  </si>
  <si>
    <t>That depends on what you are applying for.
Please tell me which product or application you mean. In general, documents can vary by product and profile, especially if you are salaried or self-employed.
Once you share the product, I can give a more relevant list.</t>
  </si>
  <si>
    <t>Maybe. Some applications can be reopened, while others may require a fresh application.
Please tell me whether the earlier application was rejected, expired, withdrawn, or left incomplete.</t>
  </si>
  <si>
    <t>It depends on your goal and cash flow.
Short-term loan is usually better when:
- you can afford higher monthly payments
- you want to finish repayment quickly
- you want to pay less total interest overall
Long-term loan is usually better when:
- you need lower monthly EMIs
- the loan amount is large
- you want more breathing room in your budget
- you can accept paying more total interest over time
Main trade-off:
- Short-term: higher EMI, lower total interest
- Long-term: lower EMI, higher total interest
If you share loan amount, monthly income, and existing EMIs, I can suggest what fits better.</t>
  </si>
  <si>
    <t>To compare two repayment plans properly, I need the two options or at least the differences in EMI, tenure, and total cost.
In general, the comparison should look at monthly burden, total amount repaid, flexibility, and penalties.</t>
  </si>
  <si>
    <t>The one that gives better value is usually the one with the right balance of premium and coverage. Value is not only about lower price.
If you share the two plans, I can compare premium, coverage, exclusions, and suitability.</t>
  </si>
  <si>
    <t>It depends on what you care about more.
Fixed return is usually better if you want predictability and lower uncertainty. Market-linked is usually better if you can accept more risk for potentially higher returns.
If you want, share your time horizon and risk comfort, and I can help narrow it down.</t>
  </si>
  <si>
    <t>The cheaper plan overall is not always the one with the lowest starting cost. You should compare total fees, recurring charges, and any penalties.
If you share the options, I can compare them.</t>
  </si>
  <si>
    <t>The lower-risk option is usually the one with more predictable terms, but I need to know what options you mean.
If you tell me the two options, I can compare the main risks.</t>
  </si>
  <si>
    <t>That depends on which options you want to compare.
For salaried users, the better option is often the one with simpler documentation, stable EMI burden, and smoother approval fit. If you share the options, I can compare them more clearly.</t>
  </si>
  <si>
    <t>For urgent needs, the better option is usually the one with faster processing and simpler approval.
But I would still need to know what options you mean, because speed, cost, and approval chances can differ a lot.</t>
  </si>
  <si>
    <t>Monthly and quarterly payment options affect budgeting differently.
Monthly payments usually spread the cost more evenly and can feel easier on cash flow. Quarterly payments mean fewer payment events, but each payment is larger.
If you want, I can help compare them based on your income pattern and budgeting preference.</t>
  </si>
  <si>
    <t>The more flexible option is usually the one that allows easier changes, fewer penalties, and more repayment control.
If you share the options, I can compare them on those points.</t>
  </si>
  <si>
    <t>Turn 1: I need a few details before I can answer that properly - such as loan type, salary, existing EMIs, and employment type.
Turn 2: With a salary of 28,000 and one existing loan, eligibility may still be possible, but it depends on the EMI burden, loan type, credit score, and work stability. If you share the loan amount and employment type, I can help assess it more cautiously.</t>
  </si>
  <si>
    <t>Turn 1: Please check whether the amount was deducted and what type of payment this was.
Turn 2: If the money got deducted, avoid paying again immediately. First check the payment status and reference number, then contact the provider if it stays unconfirmed. If you tell me the payment type, I can suggest the most likely next step.</t>
  </si>
  <si>
    <t>Turn 1: It depends on which plans you mean and what matters most to you.
Turn 2: Since lower monthly payments matter most, the better plan is usually the one with longer tenure or lower installment burden, even if total cost is higher. If you share the actual options, I can compare the trade-off more clearly.</t>
  </si>
  <si>
    <t>Turn 1: You may be able to apply again, but I need to know what happened to the earlier case.
Turn 2: Since your last application was rejected last month, the best next step depends on the reason. If it was due to missing information, you may be able to reapply after fixing it. If it was due to eligibility, reapplying immediately may not help.</t>
  </si>
  <si>
    <t>Turn 1: I need to know when the EMI was due and for which loan.
Turn 2: If it was only by 3 days, the outcome may be milder than a long delay, but fees or interest can still apply depending on the lender. It is best to clear it quickly and check whether any late fee was added.</t>
  </si>
  <si>
    <t>Turn 1: Documents depend on the product and user profile.
Turn 2: Since you are self-employed, common documents may include ID proof, address proof, income proof, bank statements, and business-related proof. The exact list still depends on the product.</t>
  </si>
  <si>
    <t>Turn 1: It depends on your budget and coverage needs.
Turn 2: Since lower premium matters most, the better option may be the one with lower recurring cost, but it is still important to compare coverage and exclusions before deciding.</t>
  </si>
  <si>
    <t>Turn 1: Possibly, but it depends on the payment type and the provider's policy.
Turn 2: Temporary cash-flow issues can make a one-time deferment, due-date change, or restructuring request more relevant, but approval is not guaranteed. If you tell me the payment type and due status, I can suggest the most likely next step. Try to contact the provider before the due date if possible.</t>
  </si>
  <si>
    <t>Turn 1: Please tell me what the refund is for and whether the amount was deducted.
Turn 2: If the payment was duplicated, do not pay again. Keep both transaction references, check whether one entry is pending or reversed, and contact the provider with the duplicate payment details if both settle.</t>
  </si>
  <si>
    <t>Turn 1: I need more details before I can assess eligibility.
Turn 2: Variable freelance income can still work in some cases, but providers may look more closely at income stability, bank statements, and existing obligations. If you share approximate monthly income, loan type, and any EMIs, I can help assess it more cautiously.</t>
  </si>
  <si>
    <t>Maybe, but I need a bit more context.
What payment do you mean, and is the due date still upcoming or already missed? In some cases a later payment may be possible, but fees or approval conditions can apply.</t>
  </si>
  <si>
    <t>I need to know what 'this' refers to first. If you mean a loan, card, account, or application, the closing process can differ.
Tell me what you want to close and whether it is active, pending, or already settled.</t>
  </si>
  <si>
    <t>That depends on which options you want to compare.
To compare which one has fewer charges, I would look at processing fees, recurring charges, late fees, and exit or penalty charges. If you share the options, I can help compare them.</t>
  </si>
  <si>
    <t>Turn 1: It depends on the payment type and provider.
Turn 2: Since this is a credit card bill, the due date usually is not changed case by case. But some issuers offer different billing-cycle options or payment alternatives. If the due date is close, check minimum payment, statement cycle change options, and any fee or interest impact.</t>
  </si>
  <si>
    <t>Turn 1: I need more context on which application and what stage it is in.
Turn 2: If you submitted it 5 days ago and have no update, it may still be under review, but you should check whether any document or verification step is pending. If there is a tracking page or support channel, use that first.</t>
  </si>
  <si>
    <t>To tell you which option is better, I need two things first: what the options are and what matters most to you.
Please share:
- the two options you are comparing
- whether you care most about lower cost, lower risk, faster approval, or more flexibility
Once you share that, I can compare them clearly using those criteria.</t>
  </si>
  <si>
    <t>I cannot tell the exact reason yet without more details, but common reasons can include eligibility mismatch, missing information, verification issues, policy checks, or credit-related concerns.
Please share:
- what request you made
- any rejection message you received
- whether this was a fresh application or a follow-up case
Then I can help narrow down the most likely reason.</t>
  </si>
  <si>
    <t>There is no single best plan for everyone. The right plan depends on what you want to optimize.
Please share:
- which plans you are choosing between
- whether you care most about lower monthly cost, lower total cost, flexibility, or faster approval
Then I can compare the plans against those priorities.</t>
  </si>
  <si>
    <t>I can help, but I need the options first because 'safer' depends on what you are comparing.
Please share:
- the options you are considering
- whether safety means lower risk of loss, more stable returns, or easier access to funds
- your time horizon and risk comfort
Then I can compare them more accurately.</t>
  </si>
  <si>
    <t>I can help with that. To guide you correctly, please share:
- what the payment or charge was for
- whether the amount was deducted successfully
- whether the issue was duplicate payment, failed transaction, wrong charge, or cancellation
In general, keep the transaction reference, avoid paying again until status is clear, and use the provider's support route if the charge stays posted.</t>
  </si>
  <si>
    <t>Possibly, but it depends on why the earlier application stopped.
Please tell me whether it was:
- rejected
- expired
- withdrawn by you
- left incomplete
In general, incomplete or withdrawn applications may sometimes be resumed, while rejected or expired cases often need a fresh application. Once you tell me the status, I can suggest the next step.</t>
  </si>
  <si>
    <t>To compare two repayment plans properly, I would look at four things:
- monthly payment burden
- total amount repaid
- repayment duration
- flexibility or penalty impact
Please share the two plans or their EMI, tenure, and total cost, and I can compare them against those criteria.</t>
  </si>
  <si>
    <t>Better value usually means the right balance of premium, coverage, exclusions, and fit for your needs - not just the cheapest plan.
Please share the plans you are comparing. I will compare them on:
- premium
- coverage amount and benefits
- exclusions or waiting periods
- suitability for your goal and budget</t>
  </si>
  <si>
    <t>The cheaper option overall is the one with the lower total cost after you include all major charges.
Please compare or share:
- upfront or processing fee
- recurring charges or EMI burden
- late or penalty charges
- prepayment or exit fees
If you share the options, I can help compare the true total cost.</t>
  </si>
  <si>
    <t>I need to know what options you are comparing, because lower risk depends on the product and the trade-offs involved.
When comparing risk, I would look at:
- predictability of returns or payments
- chance of loss or default-related impact
- flexibility if your situation changes
- any penalties or downside conditions
Share the options, and I can compare them on those points.</t>
  </si>
  <si>
    <t>For urgent needs, the better option is usually the one that balances speed with realistic approval chances and acceptable cost.
Please share the options you are considering. I would compare them on:
- processing time
- document and verification burden
- approval likelihood
- monthly cost or total cost
Then I can suggest which one is better for urgency.</t>
  </si>
  <si>
    <t>By flexibility, I would compare things like due-date changes, prepayment terms, restructuring options, and penalty structure.
Please share the options you are comparing, and I can assess which one is more flexible based on those criteria.</t>
  </si>
  <si>
    <t>Since the earlier application was rejected last month, the right next step depends on the reason for rejection.
In general:
- if it was due to missing documents or incorrect details, you may be able to reapply after fixing them
- if it was due to eligibility, reapplying immediately may not help unless something has changed
- if there was a cooldown period, you may need to wait before trying again
If you share the reason or message, I can suggest the most likely next step.</t>
  </si>
  <si>
    <t>Since lower premium matters most, start by comparing the plans on:
- monthly or annual premium
- coverage amount
- major exclusions
- whether lower price comes with important trade-offs
A lower-premium plan may fit better if budget is the priority, but it should still meet your basic coverage needs. If you share the two options, I can compare them directly.</t>
  </si>
  <si>
    <t>If you submitted the application 5 days ago and have no update, the first step is to check whether any document, KYC, or verification action is still pending.
A practical next-step order is:
- check the status page or app first
- look for any email or SMS asking for action
- contact support with your application ID if nothing is pending
- confirm expected review timelines before reapplying or restarting anything
If you tell me the product type, I can help narrow the most likely cause of the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</si>
</sst>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F3F7FB"/>
      </patternFill>
    </fill>
    <fill>
      <patternFill patternType="solid">
        <fgColor rgb="FFFCE4D6"/>
      </patternFill>
    </fill>
  </fills>
  <borders count="2">
    <border>
      <left/>
      <right/>
      <top/>
      <bottom/>
      <diagonal/>
    </border>
    <border>
      <left/>
      <right/>
      <top/>
      <bottom style="thin">
        <color rgb="FFD0D0D0"/>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1" xfId="0" applyFont="1" applyFill="1" applyBorder="1" applyAlignment="1">
      <alignment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workbookViewId="0">
      <pane ySplit="14" topLeftCell="A19" activePane="bottomLeft" state="frozen"/>
      <selection pane="bottomLeft" activeCell="H2" sqref="H2"/>
    </sheetView>
  </sheetViews>
  <sheetFormatPr defaultRowHeight="15"/>
  <cols>
    <col min="1" max="1" width="12" customWidth="1"/>
    <col min="2" max="2" width="28" customWidth="1"/>
    <col min="3" max="3" width="24" customWidth="1"/>
    <col min="4" max="4" width="37" customWidth="1"/>
    <col min="5" max="5" width="20.85546875" customWidth="1"/>
    <col min="6" max="6" width="58" customWidth="1"/>
    <col min="7" max="7" width="22" customWidth="1"/>
  </cols>
  <sheetData>
    <row r="1" spans="1:7">
      <c r="A1" s="2" t="s">
        <v>0</v>
      </c>
      <c r="B1" s="2" t="s">
        <v>1</v>
      </c>
      <c r="C1" s="2" t="s">
        <v>2</v>
      </c>
      <c r="D1" s="2" t="s">
        <v>3</v>
      </c>
      <c r="E1" s="2" t="s">
        <v>4</v>
      </c>
      <c r="F1" s="2" t="s">
        <v>5</v>
      </c>
      <c r="G1" s="2" t="s">
        <v>6</v>
      </c>
    </row>
    <row r="2" spans="1:7" ht="30.75">
      <c r="A2" s="3" t="s">
        <v>7</v>
      </c>
      <c r="B2" s="3" t="s">
        <v>8</v>
      </c>
      <c r="C2" s="3" t="s">
        <v>9</v>
      </c>
      <c r="D2" s="3" t="s">
        <v>10</v>
      </c>
      <c r="E2" s="3"/>
      <c r="F2" s="3" t="s">
        <v>11</v>
      </c>
      <c r="G2" s="3" t="s">
        <v>12</v>
      </c>
    </row>
    <row r="3" spans="1:7">
      <c r="A3" s="4" t="s">
        <v>13</v>
      </c>
      <c r="B3" s="4" t="s">
        <v>8</v>
      </c>
      <c r="C3" s="4" t="s">
        <v>9</v>
      </c>
      <c r="D3" s="4" t="s">
        <v>14</v>
      </c>
      <c r="E3" s="4"/>
      <c r="F3" s="4" t="s">
        <v>15</v>
      </c>
      <c r="G3" s="4" t="s">
        <v>16</v>
      </c>
    </row>
    <row r="4" spans="1:7">
      <c r="A4" s="3" t="s">
        <v>17</v>
      </c>
      <c r="B4" s="3" t="s">
        <v>18</v>
      </c>
      <c r="C4" s="3" t="s">
        <v>9</v>
      </c>
      <c r="D4" s="3" t="s">
        <v>19</v>
      </c>
      <c r="E4" s="3"/>
      <c r="F4" s="3" t="s">
        <v>20</v>
      </c>
      <c r="G4" s="3" t="s">
        <v>21</v>
      </c>
    </row>
    <row r="5" spans="1:7">
      <c r="A5" s="4" t="s">
        <v>22</v>
      </c>
      <c r="B5" s="4" t="s">
        <v>23</v>
      </c>
      <c r="C5" s="4" t="s">
        <v>9</v>
      </c>
      <c r="D5" s="4" t="s">
        <v>24</v>
      </c>
      <c r="E5" s="4"/>
      <c r="F5" s="4" t="s">
        <v>25</v>
      </c>
      <c r="G5" s="4" t="s">
        <v>26</v>
      </c>
    </row>
    <row r="6" spans="1:7">
      <c r="A6" s="3" t="s">
        <v>27</v>
      </c>
      <c r="B6" s="3" t="s">
        <v>8</v>
      </c>
      <c r="C6" s="3" t="s">
        <v>9</v>
      </c>
      <c r="D6" s="3" t="s">
        <v>28</v>
      </c>
      <c r="E6" s="3"/>
      <c r="F6" s="3" t="s">
        <v>29</v>
      </c>
      <c r="G6" s="3" t="s">
        <v>30</v>
      </c>
    </row>
    <row r="7" spans="1:7">
      <c r="A7" s="4" t="s">
        <v>31</v>
      </c>
      <c r="B7" s="4" t="s">
        <v>32</v>
      </c>
      <c r="C7" s="4" t="s">
        <v>9</v>
      </c>
      <c r="D7" s="4" t="s">
        <v>33</v>
      </c>
      <c r="E7" s="4"/>
      <c r="F7" s="4" t="s">
        <v>34</v>
      </c>
      <c r="G7" s="4" t="s">
        <v>35</v>
      </c>
    </row>
    <row r="8" spans="1:7">
      <c r="A8" s="3" t="s">
        <v>36</v>
      </c>
      <c r="B8" s="3" t="s">
        <v>32</v>
      </c>
      <c r="C8" s="3" t="s">
        <v>9</v>
      </c>
      <c r="D8" s="3" t="s">
        <v>37</v>
      </c>
      <c r="E8" s="3"/>
      <c r="F8" s="3" t="s">
        <v>38</v>
      </c>
      <c r="G8" s="3" t="s">
        <v>39</v>
      </c>
    </row>
    <row r="9" spans="1:7">
      <c r="A9" s="4" t="s">
        <v>40</v>
      </c>
      <c r="B9" s="4" t="s">
        <v>32</v>
      </c>
      <c r="C9" s="4" t="s">
        <v>9</v>
      </c>
      <c r="D9" s="4" t="s">
        <v>41</v>
      </c>
      <c r="E9" s="4"/>
      <c r="F9" s="4" t="s">
        <v>42</v>
      </c>
      <c r="G9" s="4" t="s">
        <v>43</v>
      </c>
    </row>
    <row r="10" spans="1:7">
      <c r="A10" s="3" t="s">
        <v>44</v>
      </c>
      <c r="B10" s="3" t="s">
        <v>18</v>
      </c>
      <c r="C10" s="3" t="s">
        <v>9</v>
      </c>
      <c r="D10" s="3" t="s">
        <v>45</v>
      </c>
      <c r="E10" s="3"/>
      <c r="F10" s="3" t="s">
        <v>46</v>
      </c>
      <c r="G10" s="3" t="s">
        <v>47</v>
      </c>
    </row>
    <row r="11" spans="1:7">
      <c r="A11" s="4" t="s">
        <v>48</v>
      </c>
      <c r="B11" s="4" t="s">
        <v>23</v>
      </c>
      <c r="C11" s="4" t="s">
        <v>9</v>
      </c>
      <c r="D11" s="4" t="s">
        <v>49</v>
      </c>
      <c r="E11" s="4"/>
      <c r="F11" s="4" t="s">
        <v>50</v>
      </c>
      <c r="G11" s="4" t="s">
        <v>51</v>
      </c>
    </row>
    <row r="12" spans="1:7">
      <c r="A12" s="3" t="s">
        <v>52</v>
      </c>
      <c r="B12" s="3" t="s">
        <v>8</v>
      </c>
      <c r="C12" s="3" t="s">
        <v>53</v>
      </c>
      <c r="D12" s="3" t="s">
        <v>54</v>
      </c>
      <c r="E12" s="3"/>
      <c r="F12" s="3" t="s">
        <v>55</v>
      </c>
      <c r="G12" s="3" t="s">
        <v>56</v>
      </c>
    </row>
    <row r="13" spans="1:7">
      <c r="A13" s="4" t="s">
        <v>57</v>
      </c>
      <c r="B13" s="4" t="s">
        <v>32</v>
      </c>
      <c r="C13" s="4" t="s">
        <v>53</v>
      </c>
      <c r="D13" s="4" t="s">
        <v>58</v>
      </c>
      <c r="E13" s="4"/>
      <c r="F13" s="4" t="s">
        <v>59</v>
      </c>
      <c r="G13" s="4" t="s">
        <v>60</v>
      </c>
    </row>
    <row r="14" spans="1:7">
      <c r="A14" s="3" t="s">
        <v>61</v>
      </c>
      <c r="B14" s="3" t="s">
        <v>32</v>
      </c>
      <c r="C14" s="3" t="s">
        <v>53</v>
      </c>
      <c r="D14" s="3" t="s">
        <v>62</v>
      </c>
      <c r="E14" s="3"/>
      <c r="F14" s="3" t="s">
        <v>63</v>
      </c>
      <c r="G14" s="3" t="s">
        <v>64</v>
      </c>
    </row>
    <row r="15" spans="1:7">
      <c r="A15" s="4" t="s">
        <v>65</v>
      </c>
      <c r="B15" s="4" t="s">
        <v>18</v>
      </c>
      <c r="C15" s="4" t="s">
        <v>53</v>
      </c>
      <c r="D15" s="4" t="s">
        <v>66</v>
      </c>
      <c r="E15" s="4"/>
      <c r="F15" s="4" t="s">
        <v>67</v>
      </c>
      <c r="G15" s="4" t="s">
        <v>68</v>
      </c>
    </row>
    <row r="16" spans="1:7">
      <c r="A16" s="3" t="s">
        <v>69</v>
      </c>
      <c r="B16" s="3" t="s">
        <v>18</v>
      </c>
      <c r="C16" s="3" t="s">
        <v>53</v>
      </c>
      <c r="D16" s="3" t="s">
        <v>70</v>
      </c>
      <c r="E16" s="3"/>
      <c r="F16" s="3" t="s">
        <v>71</v>
      </c>
      <c r="G16" s="3" t="s">
        <v>72</v>
      </c>
    </row>
    <row r="17" spans="1:7">
      <c r="A17" s="4" t="s">
        <v>73</v>
      </c>
      <c r="B17" s="4" t="s">
        <v>8</v>
      </c>
      <c r="C17" s="4" t="s">
        <v>53</v>
      </c>
      <c r="D17" s="4" t="s">
        <v>74</v>
      </c>
      <c r="E17" s="4"/>
      <c r="F17" s="4" t="s">
        <v>75</v>
      </c>
      <c r="G17" s="4" t="s">
        <v>76</v>
      </c>
    </row>
    <row r="18" spans="1:7">
      <c r="A18" s="3" t="s">
        <v>77</v>
      </c>
      <c r="B18" s="3" t="s">
        <v>32</v>
      </c>
      <c r="C18" s="3" t="s">
        <v>53</v>
      </c>
      <c r="D18" s="3" t="s">
        <v>78</v>
      </c>
      <c r="E18" s="3"/>
      <c r="F18" s="3" t="s">
        <v>79</v>
      </c>
      <c r="G18" s="3" t="s">
        <v>80</v>
      </c>
    </row>
    <row r="19" spans="1:7">
      <c r="A19" s="4" t="s">
        <v>81</v>
      </c>
      <c r="B19" s="4" t="s">
        <v>32</v>
      </c>
      <c r="C19" s="4" t="s">
        <v>53</v>
      </c>
      <c r="D19" s="4" t="s">
        <v>82</v>
      </c>
      <c r="E19" s="4"/>
      <c r="F19" s="4" t="s">
        <v>83</v>
      </c>
      <c r="G19" s="4" t="s">
        <v>84</v>
      </c>
    </row>
    <row r="20" spans="1:7">
      <c r="A20" s="3" t="s">
        <v>85</v>
      </c>
      <c r="B20" s="3" t="s">
        <v>8</v>
      </c>
      <c r="C20" s="3" t="s">
        <v>53</v>
      </c>
      <c r="D20" s="3" t="s">
        <v>86</v>
      </c>
      <c r="E20" s="3"/>
      <c r="F20" s="3" t="s">
        <v>87</v>
      </c>
      <c r="G20" s="3" t="s">
        <v>88</v>
      </c>
    </row>
    <row r="21" spans="1:7">
      <c r="A21" s="4" t="s">
        <v>89</v>
      </c>
      <c r="B21" s="4" t="s">
        <v>23</v>
      </c>
      <c r="C21" s="4" t="s">
        <v>53</v>
      </c>
      <c r="D21" s="4" t="s">
        <v>90</v>
      </c>
      <c r="E21" s="4"/>
      <c r="F21" s="4" t="s">
        <v>91</v>
      </c>
      <c r="G21" s="4" t="s">
        <v>92</v>
      </c>
    </row>
    <row r="22" spans="1:7">
      <c r="A22" s="3" t="s">
        <v>93</v>
      </c>
      <c r="B22" s="3" t="s">
        <v>18</v>
      </c>
      <c r="C22" s="3" t="s">
        <v>94</v>
      </c>
      <c r="D22" s="3" t="s">
        <v>95</v>
      </c>
      <c r="E22" s="3"/>
      <c r="F22" s="3" t="s">
        <v>96</v>
      </c>
      <c r="G22" s="3" t="s">
        <v>97</v>
      </c>
    </row>
    <row r="23" spans="1:7">
      <c r="A23" s="4" t="s">
        <v>98</v>
      </c>
      <c r="B23" s="4" t="s">
        <v>32</v>
      </c>
      <c r="C23" s="4" t="s">
        <v>94</v>
      </c>
      <c r="D23" s="4" t="s">
        <v>99</v>
      </c>
      <c r="E23" s="4"/>
      <c r="F23" s="4" t="s">
        <v>100</v>
      </c>
      <c r="G23" s="4" t="s">
        <v>101</v>
      </c>
    </row>
    <row r="24" spans="1:7">
      <c r="A24" s="3" t="s">
        <v>102</v>
      </c>
      <c r="B24" s="3" t="s">
        <v>18</v>
      </c>
      <c r="C24" s="3" t="s">
        <v>94</v>
      </c>
      <c r="D24" s="3" t="s">
        <v>103</v>
      </c>
      <c r="E24" s="3"/>
      <c r="F24" s="3" t="s">
        <v>104</v>
      </c>
      <c r="G24" s="3" t="s">
        <v>105</v>
      </c>
    </row>
    <row r="25" spans="1:7">
      <c r="A25" s="4" t="s">
        <v>106</v>
      </c>
      <c r="B25" s="4" t="s">
        <v>18</v>
      </c>
      <c r="C25" s="4" t="s">
        <v>94</v>
      </c>
      <c r="D25" s="4" t="s">
        <v>107</v>
      </c>
      <c r="E25" s="4"/>
      <c r="F25" s="4" t="s">
        <v>108</v>
      </c>
      <c r="G25" s="4" t="s">
        <v>109</v>
      </c>
    </row>
    <row r="26" spans="1:7">
      <c r="A26" s="3" t="s">
        <v>110</v>
      </c>
      <c r="B26" s="3" t="s">
        <v>18</v>
      </c>
      <c r="C26" s="3" t="s">
        <v>94</v>
      </c>
      <c r="D26" s="3" t="s">
        <v>111</v>
      </c>
      <c r="E26" s="3"/>
      <c r="F26" s="3" t="s">
        <v>112</v>
      </c>
      <c r="G26" s="3" t="s">
        <v>113</v>
      </c>
    </row>
    <row r="27" spans="1:7">
      <c r="A27" s="4" t="s">
        <v>114</v>
      </c>
      <c r="B27" s="4" t="s">
        <v>18</v>
      </c>
      <c r="C27" s="4" t="s">
        <v>94</v>
      </c>
      <c r="D27" s="4" t="s">
        <v>115</v>
      </c>
      <c r="E27" s="4"/>
      <c r="F27" s="4" t="s">
        <v>116</v>
      </c>
      <c r="G27" s="4" t="s">
        <v>117</v>
      </c>
    </row>
    <row r="28" spans="1:7">
      <c r="A28" s="3" t="s">
        <v>118</v>
      </c>
      <c r="B28" s="3" t="s">
        <v>8</v>
      </c>
      <c r="C28" s="3" t="s">
        <v>94</v>
      </c>
      <c r="D28" s="3" t="s">
        <v>119</v>
      </c>
      <c r="E28" s="3"/>
      <c r="F28" s="3" t="s">
        <v>120</v>
      </c>
      <c r="G28" s="3" t="s">
        <v>121</v>
      </c>
    </row>
    <row r="29" spans="1:7">
      <c r="A29" s="4" t="s">
        <v>122</v>
      </c>
      <c r="B29" s="4" t="s">
        <v>18</v>
      </c>
      <c r="C29" s="4" t="s">
        <v>94</v>
      </c>
      <c r="D29" s="4" t="s">
        <v>123</v>
      </c>
      <c r="E29" s="4"/>
      <c r="F29" s="4" t="s">
        <v>124</v>
      </c>
      <c r="G29" s="4" t="s">
        <v>125</v>
      </c>
    </row>
    <row r="30" spans="1:7">
      <c r="A30" s="3" t="s">
        <v>126</v>
      </c>
      <c r="B30" s="3" t="s">
        <v>32</v>
      </c>
      <c r="C30" s="3" t="s">
        <v>94</v>
      </c>
      <c r="D30" s="3" t="s">
        <v>127</v>
      </c>
      <c r="E30" s="3"/>
      <c r="F30" s="3" t="s">
        <v>128</v>
      </c>
      <c r="G30" s="3" t="s">
        <v>129</v>
      </c>
    </row>
    <row r="31" spans="1:7">
      <c r="A31" s="4" t="s">
        <v>130</v>
      </c>
      <c r="B31" s="4" t="s">
        <v>18</v>
      </c>
      <c r="C31" s="4" t="s">
        <v>94</v>
      </c>
      <c r="D31" s="4" t="s">
        <v>131</v>
      </c>
      <c r="E31" s="4"/>
      <c r="F31" s="4" t="s">
        <v>132</v>
      </c>
      <c r="G31" s="4" t="s">
        <v>133</v>
      </c>
    </row>
    <row r="32" spans="1:7">
      <c r="A32" s="3" t="s">
        <v>134</v>
      </c>
      <c r="B32" s="3" t="s">
        <v>8</v>
      </c>
      <c r="C32" s="3" t="s">
        <v>135</v>
      </c>
      <c r="D32" s="3" t="s">
        <v>136</v>
      </c>
      <c r="E32" s="3" t="s">
        <v>137</v>
      </c>
      <c r="F32" s="3" t="s">
        <v>138</v>
      </c>
      <c r="G32" s="3" t="s">
        <v>139</v>
      </c>
    </row>
    <row r="33" spans="1:7">
      <c r="A33" s="4" t="s">
        <v>140</v>
      </c>
      <c r="B33" s="4" t="s">
        <v>32</v>
      </c>
      <c r="C33" s="4" t="s">
        <v>135</v>
      </c>
      <c r="D33" s="4" t="s">
        <v>141</v>
      </c>
      <c r="E33" s="4" t="s">
        <v>142</v>
      </c>
      <c r="F33" s="4" t="s">
        <v>143</v>
      </c>
      <c r="G33" s="4" t="s">
        <v>144</v>
      </c>
    </row>
    <row r="34" spans="1:7">
      <c r="A34" s="3" t="s">
        <v>145</v>
      </c>
      <c r="B34" s="3" t="s">
        <v>18</v>
      </c>
      <c r="C34" s="3" t="s">
        <v>135</v>
      </c>
      <c r="D34" s="3" t="s">
        <v>146</v>
      </c>
      <c r="E34" s="3" t="s">
        <v>147</v>
      </c>
      <c r="F34" s="3" t="s">
        <v>148</v>
      </c>
      <c r="G34" s="3" t="s">
        <v>149</v>
      </c>
    </row>
    <row r="35" spans="1:7">
      <c r="A35" s="4" t="s">
        <v>150</v>
      </c>
      <c r="B35" s="4" t="s">
        <v>23</v>
      </c>
      <c r="C35" s="4" t="s">
        <v>135</v>
      </c>
      <c r="D35" s="4" t="s">
        <v>151</v>
      </c>
      <c r="E35" s="4" t="s">
        <v>152</v>
      </c>
      <c r="F35" s="4" t="s">
        <v>153</v>
      </c>
      <c r="G35" s="4" t="s">
        <v>154</v>
      </c>
    </row>
    <row r="36" spans="1:7">
      <c r="A36" s="3" t="s">
        <v>155</v>
      </c>
      <c r="B36" s="3" t="s">
        <v>32</v>
      </c>
      <c r="C36" s="3" t="s">
        <v>135</v>
      </c>
      <c r="D36" s="3" t="s">
        <v>156</v>
      </c>
      <c r="E36" s="3" t="s">
        <v>157</v>
      </c>
      <c r="F36" s="3" t="s">
        <v>158</v>
      </c>
      <c r="G36" s="3" t="s">
        <v>159</v>
      </c>
    </row>
    <row r="37" spans="1:7">
      <c r="A37" s="4" t="s">
        <v>160</v>
      </c>
      <c r="B37" s="4" t="s">
        <v>8</v>
      </c>
      <c r="C37" s="4" t="s">
        <v>135</v>
      </c>
      <c r="D37" s="4" t="s">
        <v>86</v>
      </c>
      <c r="E37" s="4" t="s">
        <v>161</v>
      </c>
      <c r="F37" s="4" t="s">
        <v>162</v>
      </c>
      <c r="G37" s="4" t="s">
        <v>163</v>
      </c>
    </row>
    <row r="38" spans="1:7">
      <c r="A38" s="3" t="s">
        <v>164</v>
      </c>
      <c r="B38" s="3" t="s">
        <v>18</v>
      </c>
      <c r="C38" s="3" t="s">
        <v>135</v>
      </c>
      <c r="D38" s="3" t="s">
        <v>165</v>
      </c>
      <c r="E38" s="3" t="s">
        <v>166</v>
      </c>
      <c r="F38" s="3" t="s">
        <v>167</v>
      </c>
      <c r="G38" s="3" t="s">
        <v>168</v>
      </c>
    </row>
    <row r="39" spans="1:7">
      <c r="A39" s="4" t="s">
        <v>169</v>
      </c>
      <c r="B39" s="4" t="s">
        <v>32</v>
      </c>
      <c r="C39" s="4" t="s">
        <v>135</v>
      </c>
      <c r="D39" s="4" t="s">
        <v>170</v>
      </c>
      <c r="E39" s="4" t="s">
        <v>171</v>
      </c>
      <c r="F39" s="4" t="s">
        <v>172</v>
      </c>
      <c r="G39" s="4" t="s">
        <v>173</v>
      </c>
    </row>
    <row r="40" spans="1:7">
      <c r="A40" s="3" t="s">
        <v>174</v>
      </c>
      <c r="B40" s="3" t="s">
        <v>32</v>
      </c>
      <c r="C40" s="3" t="s">
        <v>135</v>
      </c>
      <c r="D40" s="3" t="s">
        <v>82</v>
      </c>
      <c r="E40" s="3" t="s">
        <v>175</v>
      </c>
      <c r="F40" s="3" t="s">
        <v>176</v>
      </c>
      <c r="G40" s="3" t="s">
        <v>177</v>
      </c>
    </row>
    <row r="41" spans="1:7">
      <c r="A41" s="4" t="s">
        <v>178</v>
      </c>
      <c r="B41" s="4" t="s">
        <v>8</v>
      </c>
      <c r="C41" s="4" t="s">
        <v>135</v>
      </c>
      <c r="D41" s="4" t="s">
        <v>14</v>
      </c>
      <c r="E41" s="4" t="s">
        <v>179</v>
      </c>
      <c r="F41" s="4" t="s">
        <v>180</v>
      </c>
      <c r="G41" s="4" t="s">
        <v>181</v>
      </c>
    </row>
    <row r="42" spans="1:7">
      <c r="A42" s="3" t="s">
        <v>182</v>
      </c>
      <c r="B42" s="3" t="s">
        <v>32</v>
      </c>
      <c r="C42" s="3" t="s">
        <v>9</v>
      </c>
      <c r="D42" s="3" t="s">
        <v>183</v>
      </c>
      <c r="E42" s="3"/>
      <c r="F42" s="3" t="s">
        <v>184</v>
      </c>
      <c r="G42" s="3" t="s">
        <v>185</v>
      </c>
    </row>
    <row r="43" spans="1:7">
      <c r="A43" s="4" t="s">
        <v>186</v>
      </c>
      <c r="B43" s="4" t="s">
        <v>23</v>
      </c>
      <c r="C43" s="4" t="s">
        <v>53</v>
      </c>
      <c r="D43" s="4" t="s">
        <v>187</v>
      </c>
      <c r="E43" s="4"/>
      <c r="F43" s="4" t="s">
        <v>188</v>
      </c>
      <c r="G43" s="4" t="s">
        <v>189</v>
      </c>
    </row>
    <row r="44" spans="1:7">
      <c r="A44" s="3" t="s">
        <v>190</v>
      </c>
      <c r="B44" s="3" t="s">
        <v>18</v>
      </c>
      <c r="C44" s="3" t="s">
        <v>94</v>
      </c>
      <c r="D44" s="3" t="s">
        <v>191</v>
      </c>
      <c r="E44" s="3"/>
      <c r="F44" s="3" t="s">
        <v>192</v>
      </c>
      <c r="G44" s="3" t="s">
        <v>193</v>
      </c>
    </row>
    <row r="45" spans="1:7">
      <c r="A45" s="4" t="s">
        <v>194</v>
      </c>
      <c r="B45" s="4" t="s">
        <v>32</v>
      </c>
      <c r="C45" s="4" t="s">
        <v>135</v>
      </c>
      <c r="D45" s="4" t="s">
        <v>195</v>
      </c>
      <c r="E45" s="4" t="s">
        <v>196</v>
      </c>
      <c r="F45" s="4" t="s">
        <v>197</v>
      </c>
      <c r="G45" s="4" t="s">
        <v>198</v>
      </c>
    </row>
    <row r="46" spans="1:7">
      <c r="A46" s="3" t="s">
        <v>199</v>
      </c>
      <c r="B46" s="3" t="s">
        <v>23</v>
      </c>
      <c r="C46" s="3" t="s">
        <v>135</v>
      </c>
      <c r="D46" s="3" t="s">
        <v>200</v>
      </c>
      <c r="E46" s="3" t="s">
        <v>201</v>
      </c>
      <c r="F46" s="3" t="s">
        <v>202</v>
      </c>
      <c r="G46" s="3" t="s">
        <v>203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1"/>
  <sheetViews>
    <sheetView tabSelected="1" workbookViewId="0">
      <pane ySplit="1" topLeftCell="A2" activePane="bottomLeft" state="frozen"/>
      <selection pane="bottomLeft" activeCell="C10" sqref="C10"/>
    </sheetView>
  </sheetViews>
  <sheetFormatPr defaultRowHeight="15"/>
  <cols>
    <col min="1" max="1" width="10.7109375" customWidth="1"/>
    <col min="2" max="2" width="6" customWidth="1"/>
    <col min="3" max="3" width="55" customWidth="1"/>
    <col min="4" max="4" width="8.140625" customWidth="1"/>
    <col min="5" max="5" width="9.7109375" customWidth="1"/>
    <col min="6" max="6" width="7.28515625" customWidth="1"/>
    <col min="7" max="7" width="12.28515625" customWidth="1"/>
    <col min="8" max="8" width="18" customWidth="1"/>
    <col min="9" max="9" width="11" customWidth="1"/>
    <col min="10" max="10" width="18.28515625" customWidth="1"/>
    <col min="11" max="11" width="16.28515625" customWidth="1"/>
    <col min="12" max="12" width="49.28515625" customWidth="1"/>
  </cols>
  <sheetData>
    <row r="1" spans="1:12" ht="32.25" customHeight="1">
      <c r="A1" s="2" t="s">
        <v>0</v>
      </c>
      <c r="B1" s="2" t="s">
        <v>204</v>
      </c>
      <c r="C1" s="2" t="s">
        <v>205</v>
      </c>
      <c r="D1" s="2" t="s">
        <v>206</v>
      </c>
      <c r="E1" s="2" t="s">
        <v>207</v>
      </c>
      <c r="F1" s="2" t="s">
        <v>208</v>
      </c>
      <c r="G1" s="2" t="s">
        <v>209</v>
      </c>
      <c r="H1" s="2" t="s">
        <v>210</v>
      </c>
      <c r="I1" s="2" t="s">
        <v>211</v>
      </c>
      <c r="J1" s="2" t="s">
        <v>212</v>
      </c>
      <c r="K1" s="2" t="s">
        <v>213</v>
      </c>
      <c r="L1" s="2" t="s">
        <v>214</v>
      </c>
    </row>
    <row r="2" spans="1:12">
      <c r="A2" s="3" t="s">
        <v>7</v>
      </c>
      <c r="B2" s="3" t="s">
        <v>215</v>
      </c>
      <c r="C2" s="3" t="s">
        <v>216</v>
      </c>
      <c r="D2" s="3">
        <v>4</v>
      </c>
      <c r="E2" s="3">
        <v>4</v>
      </c>
      <c r="F2" s="3">
        <v>5</v>
      </c>
      <c r="G2" s="3">
        <v>5</v>
      </c>
      <c r="H2" s="3">
        <v>5</v>
      </c>
      <c r="I2" s="3">
        <f>SUM(D1:H1)</f>
        <v>0</v>
      </c>
      <c r="J2" s="3" t="s">
        <v>217</v>
      </c>
      <c r="K2" s="3"/>
      <c r="L2" s="3" t="s">
        <v>218</v>
      </c>
    </row>
    <row r="3" spans="1:12">
      <c r="A3" s="4" t="s">
        <v>13</v>
      </c>
      <c r="B3" s="4" t="s">
        <v>215</v>
      </c>
      <c r="C3" s="4" t="s">
        <v>219</v>
      </c>
      <c r="D3" s="4">
        <v>5</v>
      </c>
      <c r="E3" s="4">
        <v>4</v>
      </c>
      <c r="F3" s="4">
        <v>5</v>
      </c>
      <c r="G3" s="4">
        <v>5</v>
      </c>
      <c r="H3" s="4">
        <v>5</v>
      </c>
      <c r="I3" s="4">
        <f>SUM(D2:H2)</f>
        <v>23</v>
      </c>
      <c r="J3" s="4" t="s">
        <v>217</v>
      </c>
      <c r="K3" s="4"/>
      <c r="L3" s="4" t="s">
        <v>218</v>
      </c>
    </row>
    <row r="4" spans="1:12">
      <c r="A4" s="3" t="s">
        <v>17</v>
      </c>
      <c r="B4" s="3" t="s">
        <v>215</v>
      </c>
      <c r="C4" s="3" t="s">
        <v>220</v>
      </c>
      <c r="D4" s="3">
        <v>4</v>
      </c>
      <c r="E4" s="3">
        <v>3</v>
      </c>
      <c r="F4" s="3">
        <v>4</v>
      </c>
      <c r="G4" s="3">
        <v>4</v>
      </c>
      <c r="H4" s="3">
        <v>5</v>
      </c>
      <c r="I4" s="3">
        <f>SUM(D3:H3)</f>
        <v>24</v>
      </c>
      <c r="J4" s="3" t="s">
        <v>221</v>
      </c>
      <c r="K4" s="3"/>
      <c r="L4" s="3" t="s">
        <v>222</v>
      </c>
    </row>
    <row r="5" spans="1:12">
      <c r="A5" s="4" t="s">
        <v>22</v>
      </c>
      <c r="B5" s="4" t="s">
        <v>215</v>
      </c>
      <c r="C5" s="4" t="s">
        <v>223</v>
      </c>
      <c r="D5" s="4">
        <v>5</v>
      </c>
      <c r="E5" s="4">
        <v>4</v>
      </c>
      <c r="F5" s="4">
        <v>5</v>
      </c>
      <c r="G5" s="4">
        <v>4</v>
      </c>
      <c r="H5" s="4">
        <v>4</v>
      </c>
      <c r="I5" s="4">
        <f>SUM(D4:H4)</f>
        <v>20</v>
      </c>
      <c r="J5" s="4" t="s">
        <v>224</v>
      </c>
      <c r="K5" s="4"/>
      <c r="L5" s="4" t="s">
        <v>225</v>
      </c>
    </row>
    <row r="6" spans="1:12">
      <c r="A6" s="3" t="s">
        <v>27</v>
      </c>
      <c r="B6" s="3" t="s">
        <v>215</v>
      </c>
      <c r="C6" s="3" t="s">
        <v>226</v>
      </c>
      <c r="D6" s="3">
        <v>5</v>
      </c>
      <c r="E6" s="3">
        <v>4</v>
      </c>
      <c r="F6" s="3">
        <v>5</v>
      </c>
      <c r="G6" s="3">
        <v>5</v>
      </c>
      <c r="H6" s="3">
        <v>5</v>
      </c>
      <c r="I6" s="3">
        <f>SUM(D5:H5)</f>
        <v>22</v>
      </c>
      <c r="J6" s="3" t="s">
        <v>217</v>
      </c>
      <c r="K6" s="3"/>
      <c r="L6" s="3" t="s">
        <v>218</v>
      </c>
    </row>
    <row r="7" spans="1:12">
      <c r="A7" s="4" t="s">
        <v>31</v>
      </c>
      <c r="B7" s="4" t="s">
        <v>215</v>
      </c>
      <c r="C7" s="4" t="s">
        <v>227</v>
      </c>
      <c r="D7" s="4">
        <v>5</v>
      </c>
      <c r="E7" s="4">
        <v>4</v>
      </c>
      <c r="F7" s="4">
        <v>5</v>
      </c>
      <c r="G7" s="4">
        <v>5</v>
      </c>
      <c r="H7" s="4">
        <v>5</v>
      </c>
      <c r="I7" s="4">
        <f>SUM(D6:H6)</f>
        <v>24</v>
      </c>
      <c r="J7" s="4" t="s">
        <v>217</v>
      </c>
      <c r="K7" s="4"/>
      <c r="L7" s="4" t="s">
        <v>218</v>
      </c>
    </row>
    <row r="8" spans="1:12">
      <c r="A8" s="3" t="s">
        <v>36</v>
      </c>
      <c r="B8" s="3" t="s">
        <v>215</v>
      </c>
      <c r="C8" s="3" t="s">
        <v>228</v>
      </c>
      <c r="D8" s="3">
        <v>5</v>
      </c>
      <c r="E8" s="3">
        <v>4</v>
      </c>
      <c r="F8" s="3">
        <v>5</v>
      </c>
      <c r="G8" s="3">
        <v>5</v>
      </c>
      <c r="H8" s="3">
        <v>5</v>
      </c>
      <c r="I8" s="3">
        <f>SUM(D7:H7)</f>
        <v>24</v>
      </c>
      <c r="J8" s="3" t="s">
        <v>217</v>
      </c>
      <c r="K8" s="3"/>
      <c r="L8" s="3" t="s">
        <v>218</v>
      </c>
    </row>
    <row r="9" spans="1:12">
      <c r="A9" s="4" t="s">
        <v>40</v>
      </c>
      <c r="B9" s="4" t="s">
        <v>215</v>
      </c>
      <c r="C9" s="4" t="s">
        <v>229</v>
      </c>
      <c r="D9" s="4">
        <v>5</v>
      </c>
      <c r="E9" s="4">
        <v>5</v>
      </c>
      <c r="F9" s="4">
        <v>5</v>
      </c>
      <c r="G9" s="4">
        <v>5</v>
      </c>
      <c r="H9" s="4">
        <v>5</v>
      </c>
      <c r="I9" s="4">
        <f>SUM(D8:H8)</f>
        <v>24</v>
      </c>
      <c r="J9" s="4" t="s">
        <v>217</v>
      </c>
      <c r="K9" s="4"/>
      <c r="L9" s="4" t="s">
        <v>218</v>
      </c>
    </row>
    <row r="10" spans="1:12">
      <c r="A10" s="3" t="s">
        <v>44</v>
      </c>
      <c r="B10" s="3" t="s">
        <v>215</v>
      </c>
      <c r="C10" s="3" t="s">
        <v>230</v>
      </c>
      <c r="D10" s="3">
        <v>4</v>
      </c>
      <c r="E10" s="3">
        <v>3</v>
      </c>
      <c r="F10" s="3">
        <v>5</v>
      </c>
      <c r="G10" s="3">
        <v>4</v>
      </c>
      <c r="H10" s="3">
        <v>5</v>
      </c>
      <c r="I10" s="3">
        <f>SUM(D9:H9)</f>
        <v>25</v>
      </c>
      <c r="J10" s="3" t="s">
        <v>221</v>
      </c>
      <c r="K10" s="3"/>
      <c r="L10" s="3" t="s">
        <v>231</v>
      </c>
    </row>
    <row r="11" spans="1:12">
      <c r="A11" s="4" t="s">
        <v>48</v>
      </c>
      <c r="B11" s="4" t="s">
        <v>215</v>
      </c>
      <c r="C11" s="4" t="s">
        <v>232</v>
      </c>
      <c r="D11" s="4">
        <v>5</v>
      </c>
      <c r="E11" s="4">
        <v>4</v>
      </c>
      <c r="F11" s="4">
        <v>5</v>
      </c>
      <c r="G11" s="4">
        <v>5</v>
      </c>
      <c r="H11" s="4">
        <v>5</v>
      </c>
      <c r="I11" s="4">
        <f>SUM(D10:H10)</f>
        <v>21</v>
      </c>
      <c r="J11" s="4" t="s">
        <v>217</v>
      </c>
      <c r="K11" s="4"/>
      <c r="L11" s="4" t="s">
        <v>218</v>
      </c>
    </row>
    <row r="12" spans="1:12">
      <c r="A12" s="3" t="s">
        <v>52</v>
      </c>
      <c r="B12" s="3" t="s">
        <v>215</v>
      </c>
      <c r="C12" s="3" t="s">
        <v>233</v>
      </c>
      <c r="D12" s="3">
        <v>5</v>
      </c>
      <c r="E12" s="3">
        <v>5</v>
      </c>
      <c r="F12" s="3">
        <v>5</v>
      </c>
      <c r="G12" s="3">
        <v>5</v>
      </c>
      <c r="H12" s="3">
        <v>5</v>
      </c>
      <c r="I12" s="3">
        <f>SUM(D11:H11)</f>
        <v>24</v>
      </c>
      <c r="J12" s="3" t="s">
        <v>217</v>
      </c>
      <c r="K12" s="3"/>
      <c r="L12" s="3" t="s">
        <v>218</v>
      </c>
    </row>
    <row r="13" spans="1:12">
      <c r="A13" s="4" t="s">
        <v>57</v>
      </c>
      <c r="B13" s="4" t="s">
        <v>215</v>
      </c>
      <c r="C13" s="4" t="s">
        <v>234</v>
      </c>
      <c r="D13" s="4">
        <v>5</v>
      </c>
      <c r="E13" s="4">
        <v>5</v>
      </c>
      <c r="F13" s="4">
        <v>5</v>
      </c>
      <c r="G13" s="4">
        <v>5</v>
      </c>
      <c r="H13" s="4">
        <v>5</v>
      </c>
      <c r="I13" s="4">
        <f>SUM(D12:H12)</f>
        <v>25</v>
      </c>
      <c r="J13" s="4" t="s">
        <v>217</v>
      </c>
      <c r="K13" s="4"/>
      <c r="L13" s="4" t="s">
        <v>218</v>
      </c>
    </row>
    <row r="14" spans="1:12">
      <c r="A14" s="3" t="s">
        <v>61</v>
      </c>
      <c r="B14" s="3" t="s">
        <v>215</v>
      </c>
      <c r="C14" s="3" t="s">
        <v>235</v>
      </c>
      <c r="D14" s="3">
        <v>5</v>
      </c>
      <c r="E14" s="3">
        <v>5</v>
      </c>
      <c r="F14" s="3">
        <v>5</v>
      </c>
      <c r="G14" s="3">
        <v>5</v>
      </c>
      <c r="H14" s="3">
        <v>5</v>
      </c>
      <c r="I14" s="3">
        <f>SUM(D13:H13)</f>
        <v>25</v>
      </c>
      <c r="J14" s="3" t="s">
        <v>217</v>
      </c>
      <c r="K14" s="3"/>
      <c r="L14" s="3" t="s">
        <v>218</v>
      </c>
    </row>
    <row r="15" spans="1:12">
      <c r="A15" s="4" t="s">
        <v>65</v>
      </c>
      <c r="B15" s="4" t="s">
        <v>215</v>
      </c>
      <c r="C15" s="4" t="s">
        <v>236</v>
      </c>
      <c r="D15" s="4">
        <v>5</v>
      </c>
      <c r="E15" s="4">
        <v>4</v>
      </c>
      <c r="F15" s="4">
        <v>5</v>
      </c>
      <c r="G15" s="4">
        <v>5</v>
      </c>
      <c r="H15" s="4">
        <v>5</v>
      </c>
      <c r="I15" s="4">
        <f>SUM(D14:H14)</f>
        <v>25</v>
      </c>
      <c r="J15" s="4" t="s">
        <v>217</v>
      </c>
      <c r="K15" s="4"/>
      <c r="L15" s="4" t="s">
        <v>218</v>
      </c>
    </row>
    <row r="16" spans="1:12">
      <c r="A16" s="3" t="s">
        <v>69</v>
      </c>
      <c r="B16" s="3" t="s">
        <v>215</v>
      </c>
      <c r="C16" s="3" t="s">
        <v>237</v>
      </c>
      <c r="D16" s="3">
        <v>4</v>
      </c>
      <c r="E16" s="3">
        <v>3</v>
      </c>
      <c r="F16" s="3">
        <v>4</v>
      </c>
      <c r="G16" s="3">
        <v>4</v>
      </c>
      <c r="H16" s="3">
        <v>4</v>
      </c>
      <c r="I16" s="3">
        <f>SUM(D15:H15)</f>
        <v>24</v>
      </c>
      <c r="J16" s="3" t="s">
        <v>238</v>
      </c>
      <c r="K16" s="3"/>
      <c r="L16" s="3" t="s">
        <v>239</v>
      </c>
    </row>
    <row r="17" spans="1:12">
      <c r="A17" s="4" t="s">
        <v>73</v>
      </c>
      <c r="B17" s="4" t="s">
        <v>215</v>
      </c>
      <c r="C17" s="4" t="s">
        <v>240</v>
      </c>
      <c r="D17" s="4">
        <v>5</v>
      </c>
      <c r="E17" s="4">
        <v>5</v>
      </c>
      <c r="F17" s="4">
        <v>5</v>
      </c>
      <c r="G17" s="4">
        <v>5</v>
      </c>
      <c r="H17" s="4">
        <v>5</v>
      </c>
      <c r="I17" s="4">
        <f>SUM(D16:H16)</f>
        <v>19</v>
      </c>
      <c r="J17" s="4" t="s">
        <v>217</v>
      </c>
      <c r="K17" s="4"/>
      <c r="L17" s="4" t="s">
        <v>218</v>
      </c>
    </row>
    <row r="18" spans="1:12">
      <c r="A18" s="3" t="s">
        <v>77</v>
      </c>
      <c r="B18" s="3" t="s">
        <v>215</v>
      </c>
      <c r="C18" s="3" t="s">
        <v>241</v>
      </c>
      <c r="D18" s="3">
        <v>5</v>
      </c>
      <c r="E18" s="3">
        <v>4</v>
      </c>
      <c r="F18" s="3">
        <v>5</v>
      </c>
      <c r="G18" s="3">
        <v>5</v>
      </c>
      <c r="H18" s="3">
        <v>5</v>
      </c>
      <c r="I18" s="3">
        <f>SUM(D17:H17)</f>
        <v>25</v>
      </c>
      <c r="J18" s="3" t="s">
        <v>217</v>
      </c>
      <c r="K18" s="3"/>
      <c r="L18" s="3" t="s">
        <v>218</v>
      </c>
    </row>
    <row r="19" spans="1:12">
      <c r="A19" s="4" t="s">
        <v>81</v>
      </c>
      <c r="B19" s="4" t="s">
        <v>215</v>
      </c>
      <c r="C19" s="4" t="s">
        <v>242</v>
      </c>
      <c r="D19" s="4">
        <v>4</v>
      </c>
      <c r="E19" s="4">
        <v>3</v>
      </c>
      <c r="F19" s="4">
        <v>5</v>
      </c>
      <c r="G19" s="4">
        <v>4</v>
      </c>
      <c r="H19" s="4">
        <v>4</v>
      </c>
      <c r="I19" s="4">
        <f>SUM(D18:H18)</f>
        <v>24</v>
      </c>
      <c r="J19" s="4" t="s">
        <v>243</v>
      </c>
      <c r="K19" s="4"/>
      <c r="L19" s="4" t="s">
        <v>244</v>
      </c>
    </row>
    <row r="20" spans="1:12">
      <c r="A20" s="3" t="s">
        <v>85</v>
      </c>
      <c r="B20" s="3" t="s">
        <v>215</v>
      </c>
      <c r="C20" s="3" t="s">
        <v>245</v>
      </c>
      <c r="D20" s="3">
        <v>5</v>
      </c>
      <c r="E20" s="3">
        <v>4</v>
      </c>
      <c r="F20" s="3">
        <v>5</v>
      </c>
      <c r="G20" s="3">
        <v>5</v>
      </c>
      <c r="H20" s="3">
        <v>5</v>
      </c>
      <c r="I20" s="3">
        <f>SUM(D19:H19)</f>
        <v>20</v>
      </c>
      <c r="J20" s="3" t="s">
        <v>217</v>
      </c>
      <c r="K20" s="3"/>
      <c r="L20" s="3" t="s">
        <v>218</v>
      </c>
    </row>
    <row r="21" spans="1:12">
      <c r="A21" s="4" t="s">
        <v>89</v>
      </c>
      <c r="B21" s="4" t="s">
        <v>215</v>
      </c>
      <c r="C21" s="4" t="s">
        <v>246</v>
      </c>
      <c r="D21" s="4">
        <v>4</v>
      </c>
      <c r="E21" s="4">
        <v>3</v>
      </c>
      <c r="F21" s="4">
        <v>5</v>
      </c>
      <c r="G21" s="4">
        <v>4</v>
      </c>
      <c r="H21" s="4">
        <v>5</v>
      </c>
      <c r="I21" s="4">
        <f>SUM(D20:H20)</f>
        <v>24</v>
      </c>
      <c r="J21" s="4" t="s">
        <v>247</v>
      </c>
      <c r="K21" s="4"/>
      <c r="L21" s="4" t="s">
        <v>248</v>
      </c>
    </row>
    <row r="22" spans="1:12">
      <c r="A22" s="3" t="s">
        <v>93</v>
      </c>
      <c r="B22" s="3" t="s">
        <v>215</v>
      </c>
      <c r="C22" s="3" t="s">
        <v>249</v>
      </c>
      <c r="D22" s="3">
        <v>5</v>
      </c>
      <c r="E22" s="3">
        <v>5</v>
      </c>
      <c r="F22" s="3">
        <v>5</v>
      </c>
      <c r="G22" s="3">
        <v>5</v>
      </c>
      <c r="H22" s="3">
        <v>5</v>
      </c>
      <c r="I22" s="3">
        <f>SUM(D21:H21)</f>
        <v>21</v>
      </c>
      <c r="J22" s="3" t="s">
        <v>217</v>
      </c>
      <c r="K22" s="3"/>
      <c r="L22" s="3" t="s">
        <v>218</v>
      </c>
    </row>
    <row r="23" spans="1:12">
      <c r="A23" s="4" t="s">
        <v>98</v>
      </c>
      <c r="B23" s="4" t="s">
        <v>215</v>
      </c>
      <c r="C23" s="4" t="s">
        <v>250</v>
      </c>
      <c r="D23" s="4">
        <v>4</v>
      </c>
      <c r="E23" s="4">
        <v>3</v>
      </c>
      <c r="F23" s="4">
        <v>4</v>
      </c>
      <c r="G23" s="4">
        <v>4</v>
      </c>
      <c r="H23" s="4">
        <v>5</v>
      </c>
      <c r="I23" s="4">
        <f>SUM(D22:H22)</f>
        <v>25</v>
      </c>
      <c r="J23" s="4" t="s">
        <v>251</v>
      </c>
      <c r="K23" s="4"/>
      <c r="L23" s="4" t="s">
        <v>252</v>
      </c>
    </row>
    <row r="24" spans="1:12">
      <c r="A24" s="3" t="s">
        <v>102</v>
      </c>
      <c r="B24" s="3" t="s">
        <v>215</v>
      </c>
      <c r="C24" s="3" t="s">
        <v>253</v>
      </c>
      <c r="D24" s="3">
        <v>4</v>
      </c>
      <c r="E24" s="3">
        <v>3</v>
      </c>
      <c r="F24" s="3">
        <v>5</v>
      </c>
      <c r="G24" s="3">
        <v>4</v>
      </c>
      <c r="H24" s="3">
        <v>5</v>
      </c>
      <c r="I24" s="3">
        <f>SUM(D23:H23)</f>
        <v>20</v>
      </c>
      <c r="J24" s="3" t="s">
        <v>221</v>
      </c>
      <c r="K24" s="3"/>
      <c r="L24" s="3" t="s">
        <v>254</v>
      </c>
    </row>
    <row r="25" spans="1:12">
      <c r="A25" s="4" t="s">
        <v>106</v>
      </c>
      <c r="B25" s="4" t="s">
        <v>215</v>
      </c>
      <c r="C25" s="4" t="s">
        <v>255</v>
      </c>
      <c r="D25" s="4">
        <v>5</v>
      </c>
      <c r="E25" s="4">
        <v>4</v>
      </c>
      <c r="F25" s="4">
        <v>5</v>
      </c>
      <c r="G25" s="4">
        <v>5</v>
      </c>
      <c r="H25" s="4">
        <v>5</v>
      </c>
      <c r="I25" s="4">
        <f>SUM(D24:H24)</f>
        <v>21</v>
      </c>
      <c r="J25" s="4" t="s">
        <v>217</v>
      </c>
      <c r="K25" s="4"/>
      <c r="L25" s="4" t="s">
        <v>218</v>
      </c>
    </row>
    <row r="26" spans="1:12">
      <c r="A26" s="3" t="s">
        <v>110</v>
      </c>
      <c r="B26" s="3" t="s">
        <v>215</v>
      </c>
      <c r="C26" s="3" t="s">
        <v>256</v>
      </c>
      <c r="D26" s="3">
        <v>4</v>
      </c>
      <c r="E26" s="3">
        <v>3</v>
      </c>
      <c r="F26" s="3">
        <v>5</v>
      </c>
      <c r="G26" s="3">
        <v>4</v>
      </c>
      <c r="H26" s="3">
        <v>5</v>
      </c>
      <c r="I26" s="3">
        <f>SUM(D25:H25)</f>
        <v>24</v>
      </c>
      <c r="J26" s="3" t="s">
        <v>247</v>
      </c>
      <c r="K26" s="3"/>
      <c r="L26" s="3" t="s">
        <v>257</v>
      </c>
    </row>
    <row r="27" spans="1:12">
      <c r="A27" s="4" t="s">
        <v>114</v>
      </c>
      <c r="B27" s="4" t="s">
        <v>215</v>
      </c>
      <c r="C27" s="4" t="s">
        <v>258</v>
      </c>
      <c r="D27" s="4">
        <v>4</v>
      </c>
      <c r="E27" s="4">
        <v>3</v>
      </c>
      <c r="F27" s="4">
        <v>5</v>
      </c>
      <c r="G27" s="4">
        <v>4</v>
      </c>
      <c r="H27" s="4">
        <v>5</v>
      </c>
      <c r="I27" s="4">
        <f>SUM(D26:H26)</f>
        <v>21</v>
      </c>
      <c r="J27" s="4" t="s">
        <v>243</v>
      </c>
      <c r="K27" s="4"/>
      <c r="L27" s="4" t="s">
        <v>259</v>
      </c>
    </row>
    <row r="28" spans="1:12">
      <c r="A28" s="3" t="s">
        <v>118</v>
      </c>
      <c r="B28" s="3" t="s">
        <v>215</v>
      </c>
      <c r="C28" s="3" t="s">
        <v>260</v>
      </c>
      <c r="D28" s="3">
        <v>4</v>
      </c>
      <c r="E28" s="3">
        <v>4</v>
      </c>
      <c r="F28" s="3">
        <v>5</v>
      </c>
      <c r="G28" s="3">
        <v>4</v>
      </c>
      <c r="H28" s="3">
        <v>5</v>
      </c>
      <c r="I28" s="3">
        <f>SUM(D27:H27)</f>
        <v>21</v>
      </c>
      <c r="J28" s="3" t="s">
        <v>217</v>
      </c>
      <c r="K28" s="3"/>
      <c r="L28" s="3" t="s">
        <v>218</v>
      </c>
    </row>
    <row r="29" spans="1:12">
      <c r="A29" s="4" t="s">
        <v>122</v>
      </c>
      <c r="B29" s="4" t="s">
        <v>215</v>
      </c>
      <c r="C29" s="4" t="s">
        <v>261</v>
      </c>
      <c r="D29" s="4">
        <v>4</v>
      </c>
      <c r="E29" s="4">
        <v>3</v>
      </c>
      <c r="F29" s="4">
        <v>5</v>
      </c>
      <c r="G29" s="4">
        <v>4</v>
      </c>
      <c r="H29" s="4">
        <v>5</v>
      </c>
      <c r="I29" s="4">
        <f>SUM(D28:H28)</f>
        <v>22</v>
      </c>
      <c r="J29" s="4" t="s">
        <v>221</v>
      </c>
      <c r="K29" s="4"/>
      <c r="L29" s="4" t="s">
        <v>262</v>
      </c>
    </row>
    <row r="30" spans="1:12">
      <c r="A30" s="3" t="s">
        <v>126</v>
      </c>
      <c r="B30" s="3" t="s">
        <v>215</v>
      </c>
      <c r="C30" s="3" t="s">
        <v>263</v>
      </c>
      <c r="D30" s="3">
        <v>5</v>
      </c>
      <c r="E30" s="3">
        <v>4</v>
      </c>
      <c r="F30" s="3">
        <v>5</v>
      </c>
      <c r="G30" s="3">
        <v>5</v>
      </c>
      <c r="H30" s="3">
        <v>5</v>
      </c>
      <c r="I30" s="3">
        <f>SUM(D29:H29)</f>
        <v>21</v>
      </c>
      <c r="J30" s="3" t="s">
        <v>217</v>
      </c>
      <c r="K30" s="3"/>
      <c r="L30" s="3" t="s">
        <v>218</v>
      </c>
    </row>
    <row r="31" spans="1:12">
      <c r="A31" s="4" t="s">
        <v>130</v>
      </c>
      <c r="B31" s="4" t="s">
        <v>215</v>
      </c>
      <c r="C31" s="4" t="s">
        <v>264</v>
      </c>
      <c r="D31" s="4">
        <v>4</v>
      </c>
      <c r="E31" s="4">
        <v>3</v>
      </c>
      <c r="F31" s="4">
        <v>5</v>
      </c>
      <c r="G31" s="4">
        <v>4</v>
      </c>
      <c r="H31" s="4">
        <v>5</v>
      </c>
      <c r="I31" s="4">
        <f>SUM(D30:H30)</f>
        <v>24</v>
      </c>
      <c r="J31" s="4" t="s">
        <v>221</v>
      </c>
      <c r="K31" s="4"/>
      <c r="L31" s="4" t="s">
        <v>265</v>
      </c>
    </row>
    <row r="32" spans="1:12">
      <c r="A32" s="3" t="s">
        <v>134</v>
      </c>
      <c r="B32" s="3" t="s">
        <v>215</v>
      </c>
      <c r="C32" s="3" t="s">
        <v>266</v>
      </c>
      <c r="D32" s="3">
        <v>5</v>
      </c>
      <c r="E32" s="3">
        <v>4</v>
      </c>
      <c r="F32" s="3">
        <v>5</v>
      </c>
      <c r="G32" s="3">
        <v>5</v>
      </c>
      <c r="H32" s="3">
        <v>5</v>
      </c>
      <c r="I32" s="3">
        <f>SUM(D31:H31)</f>
        <v>21</v>
      </c>
      <c r="J32" s="3" t="s">
        <v>217</v>
      </c>
      <c r="K32" s="3"/>
      <c r="L32" s="3" t="s">
        <v>218</v>
      </c>
    </row>
    <row r="33" spans="1:12">
      <c r="A33" s="4" t="s">
        <v>140</v>
      </c>
      <c r="B33" s="4" t="s">
        <v>215</v>
      </c>
      <c r="C33" s="4" t="s">
        <v>267</v>
      </c>
      <c r="D33" s="4">
        <v>5</v>
      </c>
      <c r="E33" s="4">
        <v>5</v>
      </c>
      <c r="F33" s="4">
        <v>5</v>
      </c>
      <c r="G33" s="4">
        <v>5</v>
      </c>
      <c r="H33" s="4">
        <v>5</v>
      </c>
      <c r="I33" s="4">
        <f>SUM(D32:H32)</f>
        <v>24</v>
      </c>
      <c r="J33" s="4" t="s">
        <v>217</v>
      </c>
      <c r="K33" s="4"/>
      <c r="L33" s="4" t="s">
        <v>218</v>
      </c>
    </row>
    <row r="34" spans="1:12">
      <c r="A34" s="3" t="s">
        <v>145</v>
      </c>
      <c r="B34" s="3" t="s">
        <v>215</v>
      </c>
      <c r="C34" s="3" t="s">
        <v>268</v>
      </c>
      <c r="D34" s="3">
        <v>5</v>
      </c>
      <c r="E34" s="3">
        <v>5</v>
      </c>
      <c r="F34" s="3">
        <v>5</v>
      </c>
      <c r="G34" s="3">
        <v>5</v>
      </c>
      <c r="H34" s="3">
        <v>5</v>
      </c>
      <c r="I34" s="3">
        <f>SUM(D33:H33)</f>
        <v>25</v>
      </c>
      <c r="J34" s="3" t="s">
        <v>217</v>
      </c>
      <c r="K34" s="3"/>
      <c r="L34" s="3" t="s">
        <v>218</v>
      </c>
    </row>
    <row r="35" spans="1:12">
      <c r="A35" s="4" t="s">
        <v>150</v>
      </c>
      <c r="B35" s="4" t="s">
        <v>215</v>
      </c>
      <c r="C35" s="4" t="s">
        <v>269</v>
      </c>
      <c r="D35" s="4">
        <v>5</v>
      </c>
      <c r="E35" s="4">
        <v>4</v>
      </c>
      <c r="F35" s="4">
        <v>5</v>
      </c>
      <c r="G35" s="4">
        <v>4</v>
      </c>
      <c r="H35" s="4">
        <v>5</v>
      </c>
      <c r="I35" s="4">
        <f>SUM(D34:H34)</f>
        <v>25</v>
      </c>
      <c r="J35" s="4" t="s">
        <v>247</v>
      </c>
      <c r="K35" s="4"/>
      <c r="L35" s="4" t="s">
        <v>270</v>
      </c>
    </row>
    <row r="36" spans="1:12">
      <c r="A36" s="3" t="s">
        <v>155</v>
      </c>
      <c r="B36" s="3" t="s">
        <v>215</v>
      </c>
      <c r="C36" s="3" t="s">
        <v>271</v>
      </c>
      <c r="D36" s="3">
        <v>5</v>
      </c>
      <c r="E36" s="3">
        <v>4</v>
      </c>
      <c r="F36" s="3">
        <v>5</v>
      </c>
      <c r="G36" s="3">
        <v>5</v>
      </c>
      <c r="H36" s="3">
        <v>5</v>
      </c>
      <c r="I36" s="3">
        <f>SUM(D35:H35)</f>
        <v>23</v>
      </c>
      <c r="J36" s="3" t="s">
        <v>217</v>
      </c>
      <c r="K36" s="3"/>
      <c r="L36" s="3" t="s">
        <v>218</v>
      </c>
    </row>
    <row r="37" spans="1:12">
      <c r="A37" s="4" t="s">
        <v>160</v>
      </c>
      <c r="B37" s="4" t="s">
        <v>215</v>
      </c>
      <c r="C37" s="4" t="s">
        <v>272</v>
      </c>
      <c r="D37" s="4">
        <v>5</v>
      </c>
      <c r="E37" s="4">
        <v>5</v>
      </c>
      <c r="F37" s="4">
        <v>5</v>
      </c>
      <c r="G37" s="4">
        <v>5</v>
      </c>
      <c r="H37" s="4">
        <v>5</v>
      </c>
      <c r="I37" s="4">
        <f>SUM(D36:H36)</f>
        <v>24</v>
      </c>
      <c r="J37" s="4" t="s">
        <v>217</v>
      </c>
      <c r="K37" s="4"/>
      <c r="L37" s="4" t="s">
        <v>218</v>
      </c>
    </row>
    <row r="38" spans="1:12">
      <c r="A38" s="3" t="s">
        <v>164</v>
      </c>
      <c r="B38" s="3" t="s">
        <v>215</v>
      </c>
      <c r="C38" s="3" t="s">
        <v>273</v>
      </c>
      <c r="D38" s="3">
        <v>5</v>
      </c>
      <c r="E38" s="3">
        <v>4</v>
      </c>
      <c r="F38" s="3">
        <v>5</v>
      </c>
      <c r="G38" s="3">
        <v>4</v>
      </c>
      <c r="H38" s="3">
        <v>5</v>
      </c>
      <c r="I38" s="3">
        <f>SUM(D37:H37)</f>
        <v>25</v>
      </c>
      <c r="J38" s="3" t="s">
        <v>247</v>
      </c>
      <c r="K38" s="3"/>
      <c r="L38" s="3" t="s">
        <v>274</v>
      </c>
    </row>
    <row r="39" spans="1:12">
      <c r="A39" s="4" t="s">
        <v>169</v>
      </c>
      <c r="B39" s="4" t="s">
        <v>215</v>
      </c>
      <c r="C39" s="4" t="s">
        <v>275</v>
      </c>
      <c r="D39" s="4">
        <v>5</v>
      </c>
      <c r="E39" s="4">
        <v>5</v>
      </c>
      <c r="F39" s="4">
        <v>5</v>
      </c>
      <c r="G39" s="4">
        <v>5</v>
      </c>
      <c r="H39" s="4">
        <v>5</v>
      </c>
      <c r="I39" s="4">
        <f>SUM(D38:H38)</f>
        <v>23</v>
      </c>
      <c r="J39" s="4" t="s">
        <v>217</v>
      </c>
      <c r="K39" s="4"/>
      <c r="L39" s="4" t="s">
        <v>218</v>
      </c>
    </row>
    <row r="40" spans="1:12">
      <c r="A40" s="3" t="s">
        <v>174</v>
      </c>
      <c r="B40" s="3" t="s">
        <v>215</v>
      </c>
      <c r="C40" s="3" t="s">
        <v>276</v>
      </c>
      <c r="D40" s="3">
        <v>5</v>
      </c>
      <c r="E40" s="3">
        <v>5</v>
      </c>
      <c r="F40" s="3">
        <v>5</v>
      </c>
      <c r="G40" s="3">
        <v>5</v>
      </c>
      <c r="H40" s="3">
        <v>5</v>
      </c>
      <c r="I40" s="3">
        <f>SUM(D39:H39)</f>
        <v>25</v>
      </c>
      <c r="J40" s="3" t="s">
        <v>217</v>
      </c>
      <c r="K40" s="3"/>
      <c r="L40" s="3" t="s">
        <v>218</v>
      </c>
    </row>
    <row r="41" spans="1:12">
      <c r="A41" s="4" t="s">
        <v>178</v>
      </c>
      <c r="B41" s="4" t="s">
        <v>215</v>
      </c>
      <c r="C41" s="4" t="s">
        <v>277</v>
      </c>
      <c r="D41" s="4">
        <v>5</v>
      </c>
      <c r="E41" s="4">
        <v>5</v>
      </c>
      <c r="F41" s="4">
        <v>5</v>
      </c>
      <c r="G41" s="4">
        <v>5</v>
      </c>
      <c r="H41" s="4">
        <v>5</v>
      </c>
      <c r="I41" s="4">
        <f>SUM(D40:H40)</f>
        <v>25</v>
      </c>
      <c r="J41" s="4" t="s">
        <v>217</v>
      </c>
      <c r="K41" s="4"/>
      <c r="L41" s="4" t="s">
        <v>218</v>
      </c>
    </row>
    <row r="42" spans="1:12">
      <c r="A42" s="3" t="s">
        <v>182</v>
      </c>
      <c r="B42" s="3" t="s">
        <v>215</v>
      </c>
      <c r="C42" s="3" t="s">
        <v>278</v>
      </c>
      <c r="D42" s="3">
        <v>5</v>
      </c>
      <c r="E42" s="3">
        <v>4</v>
      </c>
      <c r="F42" s="3">
        <v>5</v>
      </c>
      <c r="G42" s="3">
        <v>5</v>
      </c>
      <c r="H42" s="3">
        <v>5</v>
      </c>
      <c r="I42" s="3">
        <f>SUM(D41:H41)</f>
        <v>25</v>
      </c>
      <c r="J42" s="3" t="s">
        <v>217</v>
      </c>
      <c r="K42" s="3"/>
      <c r="L42" s="3" t="s">
        <v>218</v>
      </c>
    </row>
    <row r="43" spans="1:12">
      <c r="A43" s="4" t="s">
        <v>186</v>
      </c>
      <c r="B43" s="4" t="s">
        <v>215</v>
      </c>
      <c r="C43" s="4" t="s">
        <v>279</v>
      </c>
      <c r="D43" s="4">
        <v>5</v>
      </c>
      <c r="E43" s="4">
        <v>4</v>
      </c>
      <c r="F43" s="4">
        <v>5</v>
      </c>
      <c r="G43" s="4">
        <v>5</v>
      </c>
      <c r="H43" s="4">
        <v>5</v>
      </c>
      <c r="I43" s="4">
        <f>SUM(D42:H42)</f>
        <v>24</v>
      </c>
      <c r="J43" s="4" t="s">
        <v>217</v>
      </c>
      <c r="K43" s="4"/>
      <c r="L43" s="4" t="s">
        <v>218</v>
      </c>
    </row>
    <row r="44" spans="1:12">
      <c r="A44" s="3" t="s">
        <v>190</v>
      </c>
      <c r="B44" s="3" t="s">
        <v>215</v>
      </c>
      <c r="C44" s="3" t="s">
        <v>260</v>
      </c>
      <c r="D44" s="3">
        <v>5</v>
      </c>
      <c r="E44" s="3">
        <v>4</v>
      </c>
      <c r="F44" s="3">
        <v>5</v>
      </c>
      <c r="G44" s="3">
        <v>5</v>
      </c>
      <c r="H44" s="3">
        <v>5</v>
      </c>
      <c r="I44" s="3">
        <f>SUM(D43:H43)</f>
        <v>24</v>
      </c>
      <c r="J44" s="3" t="s">
        <v>217</v>
      </c>
      <c r="K44" s="3"/>
      <c r="L44" s="3" t="s">
        <v>218</v>
      </c>
    </row>
    <row r="45" spans="1:12">
      <c r="A45" s="4" t="s">
        <v>194</v>
      </c>
      <c r="B45" s="4" t="s">
        <v>215</v>
      </c>
      <c r="C45" s="4" t="s">
        <v>280</v>
      </c>
      <c r="D45" s="4">
        <v>5</v>
      </c>
      <c r="E45" s="4">
        <v>5</v>
      </c>
      <c r="F45" s="4">
        <v>5</v>
      </c>
      <c r="G45" s="4">
        <v>5</v>
      </c>
      <c r="H45" s="4">
        <v>5</v>
      </c>
      <c r="I45" s="4">
        <f>SUM(D44:H44)</f>
        <v>24</v>
      </c>
      <c r="J45" s="4" t="s">
        <v>217</v>
      </c>
      <c r="K45" s="4"/>
      <c r="L45" s="4" t="s">
        <v>218</v>
      </c>
    </row>
    <row r="46" spans="1:12">
      <c r="A46" s="3" t="s">
        <v>199</v>
      </c>
      <c r="B46" s="3" t="s">
        <v>215</v>
      </c>
      <c r="C46" s="3" t="s">
        <v>281</v>
      </c>
      <c r="D46" s="3">
        <v>5</v>
      </c>
      <c r="E46" s="3">
        <v>4</v>
      </c>
      <c r="F46" s="3">
        <v>5</v>
      </c>
      <c r="G46" s="3">
        <v>4</v>
      </c>
      <c r="H46" s="3">
        <v>5</v>
      </c>
      <c r="I46" s="3">
        <f>SUM(D45:H45)</f>
        <v>25</v>
      </c>
      <c r="J46" s="3" t="s">
        <v>243</v>
      </c>
      <c r="K46" s="3"/>
      <c r="L46" s="3" t="s">
        <v>282</v>
      </c>
    </row>
    <row r="47" spans="1:12">
      <c r="A47" s="4" t="s">
        <v>17</v>
      </c>
      <c r="B47" s="4" t="s">
        <v>283</v>
      </c>
      <c r="C47" s="4" t="s">
        <v>284</v>
      </c>
      <c r="D47" s="4">
        <v>5</v>
      </c>
      <c r="E47" s="4">
        <v>5</v>
      </c>
      <c r="F47" s="4">
        <v>5</v>
      </c>
      <c r="G47" s="4">
        <v>5</v>
      </c>
      <c r="H47" s="4">
        <v>5</v>
      </c>
      <c r="I47" s="4">
        <f>SUM(D46:H46)</f>
        <v>23</v>
      </c>
      <c r="J47" s="4" t="s">
        <v>217</v>
      </c>
      <c r="K47" s="4"/>
      <c r="L47" s="4" t="s">
        <v>285</v>
      </c>
    </row>
    <row r="48" spans="1:12">
      <c r="A48" s="3" t="s">
        <v>22</v>
      </c>
      <c r="B48" s="3" t="s">
        <v>283</v>
      </c>
      <c r="C48" s="3" t="s">
        <v>286</v>
      </c>
      <c r="D48" s="3">
        <v>5</v>
      </c>
      <c r="E48" s="3">
        <v>5</v>
      </c>
      <c r="F48" s="3">
        <v>5</v>
      </c>
      <c r="G48" s="3">
        <v>5</v>
      </c>
      <c r="H48" s="3">
        <v>5</v>
      </c>
      <c r="I48" s="3">
        <f>SUM(D47:H47)</f>
        <v>25</v>
      </c>
      <c r="J48" s="3" t="s">
        <v>217</v>
      </c>
      <c r="K48" s="3"/>
      <c r="L48" s="3" t="s">
        <v>285</v>
      </c>
    </row>
    <row r="49" spans="1:12">
      <c r="A49" s="4" t="s">
        <v>44</v>
      </c>
      <c r="B49" s="4" t="s">
        <v>283</v>
      </c>
      <c r="C49" s="4" t="s">
        <v>287</v>
      </c>
      <c r="D49" s="4">
        <v>5</v>
      </c>
      <c r="E49" s="4">
        <v>5</v>
      </c>
      <c r="F49" s="4">
        <v>5</v>
      </c>
      <c r="G49" s="4">
        <v>5</v>
      </c>
      <c r="H49" s="4">
        <v>5</v>
      </c>
      <c r="I49" s="4">
        <f>SUM(D48:H48)</f>
        <v>25</v>
      </c>
      <c r="J49" s="4" t="s">
        <v>217</v>
      </c>
      <c r="K49" s="4"/>
      <c r="L49" s="4" t="s">
        <v>285</v>
      </c>
    </row>
    <row r="50" spans="1:12">
      <c r="A50" s="3" t="s">
        <v>69</v>
      </c>
      <c r="B50" s="3" t="s">
        <v>283</v>
      </c>
      <c r="C50" s="3" t="s">
        <v>288</v>
      </c>
      <c r="D50" s="3">
        <v>5</v>
      </c>
      <c r="E50" s="3">
        <v>5</v>
      </c>
      <c r="F50" s="3">
        <v>5</v>
      </c>
      <c r="G50" s="3">
        <v>5</v>
      </c>
      <c r="H50" s="3">
        <v>5</v>
      </c>
      <c r="I50" s="3">
        <f>SUM(D49:H49)</f>
        <v>25</v>
      </c>
      <c r="J50" s="3" t="s">
        <v>217</v>
      </c>
      <c r="K50" s="3"/>
      <c r="L50" s="3" t="s">
        <v>285</v>
      </c>
    </row>
    <row r="51" spans="1:12">
      <c r="A51" s="4" t="s">
        <v>81</v>
      </c>
      <c r="B51" s="4" t="s">
        <v>283</v>
      </c>
      <c r="C51" s="4" t="s">
        <v>289</v>
      </c>
      <c r="D51" s="4">
        <v>5</v>
      </c>
      <c r="E51" s="4">
        <v>5</v>
      </c>
      <c r="F51" s="4">
        <v>5</v>
      </c>
      <c r="G51" s="4">
        <v>5</v>
      </c>
      <c r="H51" s="4">
        <v>5</v>
      </c>
      <c r="I51" s="4">
        <f>SUM(D50:H50)</f>
        <v>25</v>
      </c>
      <c r="J51" s="4" t="s">
        <v>217</v>
      </c>
      <c r="K51" s="4"/>
      <c r="L51" s="4" t="s">
        <v>285</v>
      </c>
    </row>
    <row r="52" spans="1:12">
      <c r="A52" s="3" t="s">
        <v>89</v>
      </c>
      <c r="B52" s="3" t="s">
        <v>283</v>
      </c>
      <c r="C52" s="3" t="s">
        <v>290</v>
      </c>
      <c r="D52" s="3">
        <v>5</v>
      </c>
      <c r="E52" s="3">
        <v>5</v>
      </c>
      <c r="F52" s="3">
        <v>5</v>
      </c>
      <c r="G52" s="3">
        <v>5</v>
      </c>
      <c r="H52" s="3">
        <v>5</v>
      </c>
      <c r="I52" s="3">
        <f>SUM(D51:H51)</f>
        <v>25</v>
      </c>
      <c r="J52" s="3" t="s">
        <v>217</v>
      </c>
      <c r="K52" s="3"/>
      <c r="L52" s="3" t="s">
        <v>285</v>
      </c>
    </row>
    <row r="53" spans="1:12">
      <c r="A53" s="4" t="s">
        <v>98</v>
      </c>
      <c r="B53" s="4" t="s">
        <v>283</v>
      </c>
      <c r="C53" s="4" t="s">
        <v>291</v>
      </c>
      <c r="D53" s="4">
        <v>5</v>
      </c>
      <c r="E53" s="4">
        <v>5</v>
      </c>
      <c r="F53" s="4">
        <v>5</v>
      </c>
      <c r="G53" s="4">
        <v>5</v>
      </c>
      <c r="H53" s="4">
        <v>5</v>
      </c>
      <c r="I53" s="4">
        <f>SUM(D52:H52)</f>
        <v>25</v>
      </c>
      <c r="J53" s="4" t="s">
        <v>217</v>
      </c>
      <c r="K53" s="4"/>
      <c r="L53" s="4" t="s">
        <v>285</v>
      </c>
    </row>
    <row r="54" spans="1:12">
      <c r="A54" s="3" t="s">
        <v>102</v>
      </c>
      <c r="B54" s="3" t="s">
        <v>283</v>
      </c>
      <c r="C54" s="3" t="s">
        <v>292</v>
      </c>
      <c r="D54" s="3">
        <v>5</v>
      </c>
      <c r="E54" s="3">
        <v>5</v>
      </c>
      <c r="F54" s="3">
        <v>5</v>
      </c>
      <c r="G54" s="3">
        <v>5</v>
      </c>
      <c r="H54" s="3">
        <v>5</v>
      </c>
      <c r="I54" s="3">
        <f>SUM(D53:H53)</f>
        <v>25</v>
      </c>
      <c r="J54" s="3" t="s">
        <v>217</v>
      </c>
      <c r="K54" s="3"/>
      <c r="L54" s="3" t="s">
        <v>285</v>
      </c>
    </row>
    <row r="55" spans="1:12">
      <c r="A55" s="4" t="s">
        <v>110</v>
      </c>
      <c r="B55" s="4" t="s">
        <v>283</v>
      </c>
      <c r="C55" s="4" t="s">
        <v>293</v>
      </c>
      <c r="D55" s="4">
        <v>5</v>
      </c>
      <c r="E55" s="4">
        <v>5</v>
      </c>
      <c r="F55" s="4">
        <v>5</v>
      </c>
      <c r="G55" s="4">
        <v>5</v>
      </c>
      <c r="H55" s="4">
        <v>5</v>
      </c>
      <c r="I55" s="4">
        <f>SUM(D54:H54)</f>
        <v>25</v>
      </c>
      <c r="J55" s="4" t="s">
        <v>217</v>
      </c>
      <c r="K55" s="4"/>
      <c r="L55" s="4" t="s">
        <v>285</v>
      </c>
    </row>
    <row r="56" spans="1:12">
      <c r="A56" s="3" t="s">
        <v>114</v>
      </c>
      <c r="B56" s="3" t="s">
        <v>283</v>
      </c>
      <c r="C56" s="3" t="s">
        <v>294</v>
      </c>
      <c r="D56" s="3">
        <v>5</v>
      </c>
      <c r="E56" s="3">
        <v>5</v>
      </c>
      <c r="F56" s="3">
        <v>5</v>
      </c>
      <c r="G56" s="3">
        <v>5</v>
      </c>
      <c r="H56" s="3">
        <v>5</v>
      </c>
      <c r="I56" s="3">
        <f>SUM(D55:H55)</f>
        <v>25</v>
      </c>
      <c r="J56" s="3" t="s">
        <v>217</v>
      </c>
      <c r="K56" s="3"/>
      <c r="L56" s="3" t="s">
        <v>285</v>
      </c>
    </row>
    <row r="57" spans="1:12">
      <c r="A57" s="4" t="s">
        <v>122</v>
      </c>
      <c r="B57" s="4" t="s">
        <v>283</v>
      </c>
      <c r="C57" s="4" t="s">
        <v>295</v>
      </c>
      <c r="D57" s="4">
        <v>5</v>
      </c>
      <c r="E57" s="4">
        <v>5</v>
      </c>
      <c r="F57" s="4">
        <v>5</v>
      </c>
      <c r="G57" s="4">
        <v>5</v>
      </c>
      <c r="H57" s="4">
        <v>5</v>
      </c>
      <c r="I57" s="4">
        <f>SUM(D56:H56)</f>
        <v>25</v>
      </c>
      <c r="J57" s="4" t="s">
        <v>217</v>
      </c>
      <c r="K57" s="4"/>
      <c r="L57" s="4" t="s">
        <v>285</v>
      </c>
    </row>
    <row r="58" spans="1:12">
      <c r="A58" s="3" t="s">
        <v>130</v>
      </c>
      <c r="B58" s="3" t="s">
        <v>283</v>
      </c>
      <c r="C58" s="3" t="s">
        <v>296</v>
      </c>
      <c r="D58" s="3">
        <v>5</v>
      </c>
      <c r="E58" s="3">
        <v>5</v>
      </c>
      <c r="F58" s="3">
        <v>5</v>
      </c>
      <c r="G58" s="3">
        <v>5</v>
      </c>
      <c r="H58" s="3">
        <v>5</v>
      </c>
      <c r="I58" s="3">
        <f>SUM(D57:H57)</f>
        <v>25</v>
      </c>
      <c r="J58" s="3" t="s">
        <v>217</v>
      </c>
      <c r="K58" s="3"/>
      <c r="L58" s="3" t="s">
        <v>285</v>
      </c>
    </row>
    <row r="59" spans="1:12">
      <c r="A59" s="4" t="s">
        <v>150</v>
      </c>
      <c r="B59" s="4" t="s">
        <v>283</v>
      </c>
      <c r="C59" s="4" t="s">
        <v>297</v>
      </c>
      <c r="D59" s="4">
        <v>5</v>
      </c>
      <c r="E59" s="4">
        <v>5</v>
      </c>
      <c r="F59" s="4">
        <v>5</v>
      </c>
      <c r="G59" s="4">
        <v>5</v>
      </c>
      <c r="H59" s="4">
        <v>5</v>
      </c>
      <c r="I59" s="4">
        <f>SUM(D58:H58)</f>
        <v>25</v>
      </c>
      <c r="J59" s="4" t="s">
        <v>217</v>
      </c>
      <c r="K59" s="4"/>
      <c r="L59" s="4" t="s">
        <v>285</v>
      </c>
    </row>
    <row r="60" spans="1:12">
      <c r="A60" s="3" t="s">
        <v>164</v>
      </c>
      <c r="B60" s="3" t="s">
        <v>283</v>
      </c>
      <c r="C60" s="3" t="s">
        <v>298</v>
      </c>
      <c r="D60" s="3">
        <v>5</v>
      </c>
      <c r="E60" s="3">
        <v>5</v>
      </c>
      <c r="F60" s="3">
        <v>5</v>
      </c>
      <c r="G60" s="3">
        <v>5</v>
      </c>
      <c r="H60" s="3">
        <v>5</v>
      </c>
      <c r="I60" s="3">
        <f>SUM(D59:H59)</f>
        <v>25</v>
      </c>
      <c r="J60" s="3" t="s">
        <v>217</v>
      </c>
      <c r="K60" s="3"/>
      <c r="L60" s="3" t="s">
        <v>285</v>
      </c>
    </row>
    <row r="61" spans="1:12">
      <c r="A61" s="4" t="s">
        <v>199</v>
      </c>
      <c r="B61" s="4" t="s">
        <v>283</v>
      </c>
      <c r="C61" s="4" t="s">
        <v>299</v>
      </c>
      <c r="D61" s="4">
        <v>5</v>
      </c>
      <c r="E61" s="4">
        <v>5</v>
      </c>
      <c r="F61" s="4">
        <v>5</v>
      </c>
      <c r="G61" s="4">
        <v>5</v>
      </c>
      <c r="H61" s="4">
        <v>5</v>
      </c>
      <c r="I61" s="4">
        <f>SUM(D60:H60)</f>
        <v>25</v>
      </c>
      <c r="J61" s="4" t="s">
        <v>217</v>
      </c>
      <c r="K61" s="4"/>
      <c r="L61" s="4" t="s">
        <v>285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pane ySplit="1" topLeftCell="A2" activePane="bottomLeft" state="frozen"/>
      <selection pane="bottomLeft" activeCell="H10" sqref="H10"/>
    </sheetView>
  </sheetViews>
  <sheetFormatPr defaultRowHeight="15"/>
  <cols>
    <col min="1" max="1" width="12" customWidth="1"/>
    <col min="2" max="2" width="16.85546875" customWidth="1"/>
    <col min="3" max="3" width="27.85546875" customWidth="1"/>
    <col min="4" max="4" width="42" customWidth="1"/>
    <col min="5" max="5" width="52" customWidth="1"/>
    <col min="6" max="6" width="12" customWidth="1"/>
  </cols>
  <sheetData>
    <row r="1" spans="1:6">
      <c r="A1" s="1" t="s">
        <v>0</v>
      </c>
      <c r="B1" s="1" t="s">
        <v>204</v>
      </c>
      <c r="C1" s="1" t="s">
        <v>300</v>
      </c>
      <c r="D1" s="1" t="s">
        <v>301</v>
      </c>
      <c r="E1" s="1" t="s">
        <v>302</v>
      </c>
      <c r="F1" s="1" t="s">
        <v>303</v>
      </c>
    </row>
    <row r="2" spans="1:6" ht="30.75">
      <c r="A2" s="5" t="s">
        <v>17</v>
      </c>
      <c r="B2" s="5" t="s">
        <v>215</v>
      </c>
      <c r="C2" s="5" t="s">
        <v>221</v>
      </c>
      <c r="D2" s="5" t="s">
        <v>304</v>
      </c>
      <c r="E2" s="5" t="s">
        <v>222</v>
      </c>
      <c r="F2" s="5" t="s">
        <v>305</v>
      </c>
    </row>
    <row r="3" spans="1:6">
      <c r="A3" s="4" t="s">
        <v>22</v>
      </c>
      <c r="B3" s="4" t="s">
        <v>215</v>
      </c>
      <c r="C3" s="4" t="s">
        <v>224</v>
      </c>
      <c r="D3" s="4" t="s">
        <v>306</v>
      </c>
      <c r="E3" s="4" t="s">
        <v>225</v>
      </c>
      <c r="F3" s="4" t="s">
        <v>307</v>
      </c>
    </row>
    <row r="4" spans="1:6" ht="30.75">
      <c r="A4" s="5" t="s">
        <v>44</v>
      </c>
      <c r="B4" s="5" t="s">
        <v>215</v>
      </c>
      <c r="C4" s="5" t="s">
        <v>221</v>
      </c>
      <c r="D4" s="5" t="s">
        <v>308</v>
      </c>
      <c r="E4" s="5" t="s">
        <v>231</v>
      </c>
      <c r="F4" s="5" t="s">
        <v>305</v>
      </c>
    </row>
    <row r="5" spans="1:6" ht="33" customHeight="1">
      <c r="A5" s="4" t="s">
        <v>69</v>
      </c>
      <c r="B5" s="4" t="s">
        <v>215</v>
      </c>
      <c r="C5" s="4" t="s">
        <v>238</v>
      </c>
      <c r="D5" s="4" t="s">
        <v>309</v>
      </c>
      <c r="E5" s="4" t="s">
        <v>239</v>
      </c>
      <c r="F5" s="4" t="s">
        <v>305</v>
      </c>
    </row>
    <row r="6" spans="1:6">
      <c r="A6" s="5" t="s">
        <v>81</v>
      </c>
      <c r="B6" s="5" t="s">
        <v>215</v>
      </c>
      <c r="C6" s="5" t="s">
        <v>243</v>
      </c>
      <c r="D6" s="5" t="s">
        <v>310</v>
      </c>
      <c r="E6" s="5" t="s">
        <v>244</v>
      </c>
      <c r="F6" s="5" t="s">
        <v>305</v>
      </c>
    </row>
    <row r="7" spans="1:6">
      <c r="A7" s="4" t="s">
        <v>89</v>
      </c>
      <c r="B7" s="4" t="s">
        <v>215</v>
      </c>
      <c r="C7" s="4" t="s">
        <v>247</v>
      </c>
      <c r="D7" s="4" t="s">
        <v>311</v>
      </c>
      <c r="E7" s="4" t="s">
        <v>248</v>
      </c>
      <c r="F7" s="4" t="s">
        <v>305</v>
      </c>
    </row>
    <row r="8" spans="1:6" ht="30.75">
      <c r="A8" s="5" t="s">
        <v>98</v>
      </c>
      <c r="B8" s="5" t="s">
        <v>215</v>
      </c>
      <c r="C8" s="5" t="s">
        <v>251</v>
      </c>
      <c r="D8" s="5" t="s">
        <v>312</v>
      </c>
      <c r="E8" s="5" t="s">
        <v>252</v>
      </c>
      <c r="F8" s="5" t="s">
        <v>305</v>
      </c>
    </row>
    <row r="9" spans="1:6" ht="30.75">
      <c r="A9" s="4" t="s">
        <v>102</v>
      </c>
      <c r="B9" s="4" t="s">
        <v>215</v>
      </c>
      <c r="C9" s="4" t="s">
        <v>221</v>
      </c>
      <c r="D9" s="4" t="s">
        <v>313</v>
      </c>
      <c r="E9" s="4" t="s">
        <v>254</v>
      </c>
      <c r="F9" s="4" t="s">
        <v>305</v>
      </c>
    </row>
    <row r="10" spans="1:6">
      <c r="A10" s="5" t="s">
        <v>110</v>
      </c>
      <c r="B10" s="5" t="s">
        <v>215</v>
      </c>
      <c r="C10" s="5" t="s">
        <v>247</v>
      </c>
      <c r="D10" s="5" t="s">
        <v>314</v>
      </c>
      <c r="E10" s="5" t="s">
        <v>257</v>
      </c>
      <c r="F10" s="5" t="s">
        <v>305</v>
      </c>
    </row>
    <row r="11" spans="1:6">
      <c r="A11" s="4" t="s">
        <v>114</v>
      </c>
      <c r="B11" s="4" t="s">
        <v>215</v>
      </c>
      <c r="C11" s="4" t="s">
        <v>243</v>
      </c>
      <c r="D11" s="4" t="s">
        <v>315</v>
      </c>
      <c r="E11" s="4" t="s">
        <v>259</v>
      </c>
      <c r="F11" s="4" t="s">
        <v>305</v>
      </c>
    </row>
    <row r="12" spans="1:6">
      <c r="A12" s="5" t="s">
        <v>122</v>
      </c>
      <c r="B12" s="5" t="s">
        <v>215</v>
      </c>
      <c r="C12" s="5" t="s">
        <v>221</v>
      </c>
      <c r="D12" s="5" t="s">
        <v>316</v>
      </c>
      <c r="E12" s="5" t="s">
        <v>262</v>
      </c>
      <c r="F12" s="5" t="s">
        <v>307</v>
      </c>
    </row>
    <row r="13" spans="1:6">
      <c r="A13" s="4" t="s">
        <v>130</v>
      </c>
      <c r="B13" s="4" t="s">
        <v>215</v>
      </c>
      <c r="C13" s="4" t="s">
        <v>221</v>
      </c>
      <c r="D13" s="4" t="s">
        <v>317</v>
      </c>
      <c r="E13" s="4" t="s">
        <v>265</v>
      </c>
      <c r="F13" s="4" t="s">
        <v>305</v>
      </c>
    </row>
    <row r="14" spans="1:6" ht="30.75">
      <c r="A14" s="5" t="s">
        <v>150</v>
      </c>
      <c r="B14" s="5" t="s">
        <v>215</v>
      </c>
      <c r="C14" s="5" t="s">
        <v>247</v>
      </c>
      <c r="D14" s="5" t="s">
        <v>318</v>
      </c>
      <c r="E14" s="5" t="s">
        <v>270</v>
      </c>
      <c r="F14" s="5" t="s">
        <v>307</v>
      </c>
    </row>
    <row r="15" spans="1:6" ht="30.75">
      <c r="A15" s="4" t="s">
        <v>164</v>
      </c>
      <c r="B15" s="4" t="s">
        <v>215</v>
      </c>
      <c r="C15" s="4" t="s">
        <v>247</v>
      </c>
      <c r="D15" s="4" t="s">
        <v>319</v>
      </c>
      <c r="E15" s="4" t="s">
        <v>274</v>
      </c>
      <c r="F15" s="4" t="s">
        <v>307</v>
      </c>
    </row>
    <row r="16" spans="1:6" ht="30.75">
      <c r="A16" s="5" t="s">
        <v>199</v>
      </c>
      <c r="B16" s="5" t="s">
        <v>215</v>
      </c>
      <c r="C16" s="5" t="s">
        <v>243</v>
      </c>
      <c r="D16" s="5" t="s">
        <v>320</v>
      </c>
      <c r="E16" s="5" t="s">
        <v>282</v>
      </c>
      <c r="F16" s="5" t="s">
        <v>307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pane ySplit="1" topLeftCell="A2" activePane="bottomLeft" state="frozen"/>
      <selection pane="bottomLeft" activeCell="H13" sqref="H13"/>
    </sheetView>
  </sheetViews>
  <sheetFormatPr defaultRowHeight="15"/>
  <cols>
    <col min="1" max="1" width="12" customWidth="1"/>
    <col min="2" max="2" width="24" customWidth="1"/>
    <col min="3" max="4" width="10" customWidth="1"/>
    <col min="5" max="5" width="12" customWidth="1"/>
    <col min="6" max="6" width="65" customWidth="1"/>
  </cols>
  <sheetData>
    <row r="1" spans="1:6">
      <c r="A1" s="1" t="s">
        <v>0</v>
      </c>
      <c r="B1" s="1" t="s">
        <v>2</v>
      </c>
      <c r="C1" s="1" t="s">
        <v>321</v>
      </c>
      <c r="D1" s="1" t="s">
        <v>322</v>
      </c>
      <c r="E1" s="1" t="s">
        <v>323</v>
      </c>
      <c r="F1" s="1" t="s">
        <v>324</v>
      </c>
    </row>
    <row r="2" spans="1:6">
      <c r="A2" s="3" t="s">
        <v>17</v>
      </c>
      <c r="B2" s="3" t="s">
        <v>9</v>
      </c>
      <c r="C2" s="3">
        <v>20</v>
      </c>
      <c r="D2" s="3">
        <v>25</v>
      </c>
      <c r="E2" s="3">
        <f>D2-C2</f>
        <v>5</v>
      </c>
      <c r="F2" s="3" t="s">
        <v>325</v>
      </c>
    </row>
    <row r="3" spans="1:6">
      <c r="A3" s="4" t="s">
        <v>22</v>
      </c>
      <c r="B3" s="4" t="s">
        <v>9</v>
      </c>
      <c r="C3" s="4">
        <v>22</v>
      </c>
      <c r="D3" s="4">
        <v>25</v>
      </c>
      <c r="E3" s="3">
        <f t="shared" ref="E3:E16" si="0">D3-C3</f>
        <v>3</v>
      </c>
      <c r="F3" s="4" t="s">
        <v>325</v>
      </c>
    </row>
    <row r="4" spans="1:6">
      <c r="A4" s="3" t="s">
        <v>44</v>
      </c>
      <c r="B4" s="3" t="s">
        <v>9</v>
      </c>
      <c r="C4" s="3">
        <v>21</v>
      </c>
      <c r="D4" s="3">
        <v>25</v>
      </c>
      <c r="E4" s="3">
        <f t="shared" si="0"/>
        <v>4</v>
      </c>
      <c r="F4" s="3" t="s">
        <v>325</v>
      </c>
    </row>
    <row r="5" spans="1:6">
      <c r="A5" s="4" t="s">
        <v>69</v>
      </c>
      <c r="B5" s="4" t="s">
        <v>53</v>
      </c>
      <c r="C5" s="4">
        <v>19</v>
      </c>
      <c r="D5" s="4">
        <v>25</v>
      </c>
      <c r="E5" s="3">
        <f t="shared" si="0"/>
        <v>6</v>
      </c>
      <c r="F5" s="4" t="s">
        <v>325</v>
      </c>
    </row>
    <row r="6" spans="1:6">
      <c r="A6" s="3" t="s">
        <v>81</v>
      </c>
      <c r="B6" s="3" t="s">
        <v>53</v>
      </c>
      <c r="C6" s="3">
        <v>20</v>
      </c>
      <c r="D6" s="3">
        <v>25</v>
      </c>
      <c r="E6" s="3">
        <f t="shared" si="0"/>
        <v>5</v>
      </c>
      <c r="F6" s="3" t="s">
        <v>325</v>
      </c>
    </row>
    <row r="7" spans="1:6">
      <c r="A7" s="4" t="s">
        <v>89</v>
      </c>
      <c r="B7" s="4" t="s">
        <v>53</v>
      </c>
      <c r="C7" s="4">
        <v>21</v>
      </c>
      <c r="D7" s="4">
        <v>25</v>
      </c>
      <c r="E7" s="3">
        <f t="shared" si="0"/>
        <v>4</v>
      </c>
      <c r="F7" s="4" t="s">
        <v>325</v>
      </c>
    </row>
    <row r="8" spans="1:6">
      <c r="A8" s="3" t="s">
        <v>98</v>
      </c>
      <c r="B8" s="3" t="s">
        <v>94</v>
      </c>
      <c r="C8" s="3">
        <v>20</v>
      </c>
      <c r="D8" s="3">
        <v>25</v>
      </c>
      <c r="E8" s="3">
        <f t="shared" si="0"/>
        <v>5</v>
      </c>
      <c r="F8" s="3" t="s">
        <v>325</v>
      </c>
    </row>
    <row r="9" spans="1:6">
      <c r="A9" s="4" t="s">
        <v>102</v>
      </c>
      <c r="B9" s="4" t="s">
        <v>94</v>
      </c>
      <c r="C9" s="4">
        <v>21</v>
      </c>
      <c r="D9" s="4">
        <v>25</v>
      </c>
      <c r="E9" s="3">
        <f t="shared" si="0"/>
        <v>4</v>
      </c>
      <c r="F9" s="4" t="s">
        <v>325</v>
      </c>
    </row>
    <row r="10" spans="1:6">
      <c r="A10" s="3" t="s">
        <v>110</v>
      </c>
      <c r="B10" s="3" t="s">
        <v>94</v>
      </c>
      <c r="C10" s="3">
        <v>21</v>
      </c>
      <c r="D10" s="3">
        <v>25</v>
      </c>
      <c r="E10" s="3">
        <f t="shared" si="0"/>
        <v>4</v>
      </c>
      <c r="F10" s="3" t="s">
        <v>325</v>
      </c>
    </row>
    <row r="11" spans="1:6">
      <c r="A11" s="4" t="s">
        <v>114</v>
      </c>
      <c r="B11" s="4" t="s">
        <v>94</v>
      </c>
      <c r="C11" s="4">
        <v>21</v>
      </c>
      <c r="D11" s="4">
        <v>25</v>
      </c>
      <c r="E11" s="3">
        <f t="shared" si="0"/>
        <v>4</v>
      </c>
      <c r="F11" s="4" t="s">
        <v>325</v>
      </c>
    </row>
    <row r="12" spans="1:6">
      <c r="A12" s="3" t="s">
        <v>122</v>
      </c>
      <c r="B12" s="3" t="s">
        <v>94</v>
      </c>
      <c r="C12" s="3">
        <v>21</v>
      </c>
      <c r="D12" s="3">
        <v>25</v>
      </c>
      <c r="E12" s="3">
        <f t="shared" si="0"/>
        <v>4</v>
      </c>
      <c r="F12" s="3" t="s">
        <v>325</v>
      </c>
    </row>
    <row r="13" spans="1:6">
      <c r="A13" s="4" t="s">
        <v>130</v>
      </c>
      <c r="B13" s="4" t="s">
        <v>94</v>
      </c>
      <c r="C13" s="4">
        <v>21</v>
      </c>
      <c r="D13" s="4">
        <v>25</v>
      </c>
      <c r="E13" s="3">
        <f t="shared" si="0"/>
        <v>4</v>
      </c>
      <c r="F13" s="4" t="s">
        <v>325</v>
      </c>
    </row>
    <row r="14" spans="1:6" ht="30.75">
      <c r="A14" s="3" t="s">
        <v>150</v>
      </c>
      <c r="B14" s="3" t="s">
        <v>135</v>
      </c>
      <c r="C14" s="3">
        <v>23</v>
      </c>
      <c r="D14" s="3">
        <v>25</v>
      </c>
      <c r="E14" s="3">
        <f t="shared" si="0"/>
        <v>2</v>
      </c>
      <c r="F14" s="3" t="s">
        <v>326</v>
      </c>
    </row>
    <row r="15" spans="1:6" ht="30.75">
      <c r="A15" s="4" t="s">
        <v>164</v>
      </c>
      <c r="B15" s="4" t="s">
        <v>135</v>
      </c>
      <c r="C15" s="4">
        <v>23</v>
      </c>
      <c r="D15" s="4">
        <v>25</v>
      </c>
      <c r="E15" s="3">
        <f t="shared" si="0"/>
        <v>2</v>
      </c>
      <c r="F15" s="4" t="s">
        <v>326</v>
      </c>
    </row>
    <row r="16" spans="1:6" ht="30.75">
      <c r="A16" s="3" t="s">
        <v>199</v>
      </c>
      <c r="B16" s="3" t="s">
        <v>135</v>
      </c>
      <c r="C16" s="3">
        <v>23</v>
      </c>
      <c r="D16" s="3">
        <v>25</v>
      </c>
      <c r="E16" s="3">
        <f t="shared" si="0"/>
        <v>2</v>
      </c>
      <c r="F16" s="3" t="s">
        <v>326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1"/>
  <sheetViews>
    <sheetView workbookViewId="0">
      <pane ySplit="1" topLeftCell="A2" activePane="bottomLeft" state="frozen"/>
      <selection pane="bottomLeft"/>
    </sheetView>
  </sheetViews>
  <sheetFormatPr defaultRowHeight="15"/>
  <cols>
    <col min="1" max="1" width="12" customWidth="1"/>
    <col min="2" max="2" width="14" customWidth="1"/>
    <col min="3" max="4" width="38" customWidth="1"/>
    <col min="5" max="5" width="100" customWidth="1"/>
  </cols>
  <sheetData>
    <row r="1" spans="1:5">
      <c r="A1" s="1" t="s">
        <v>0</v>
      </c>
      <c r="B1" s="1" t="s">
        <v>204</v>
      </c>
      <c r="C1" s="1" t="s">
        <v>3</v>
      </c>
      <c r="D1" s="1" t="s">
        <v>4</v>
      </c>
      <c r="E1" s="1" t="s">
        <v>327</v>
      </c>
    </row>
    <row r="2" spans="1:5">
      <c r="A2" s="3" t="s">
        <v>7</v>
      </c>
      <c r="B2" s="3" t="s">
        <v>215</v>
      </c>
      <c r="C2" s="3" t="s">
        <v>10</v>
      </c>
      <c r="D2" s="3"/>
      <c r="E2" s="3" t="s">
        <v>328</v>
      </c>
    </row>
    <row r="3" spans="1:5">
      <c r="A3" s="4" t="s">
        <v>13</v>
      </c>
      <c r="B3" s="4" t="s">
        <v>215</v>
      </c>
      <c r="C3" s="4" t="s">
        <v>14</v>
      </c>
      <c r="D3" s="4"/>
      <c r="E3" s="4" t="s">
        <v>329</v>
      </c>
    </row>
    <row r="4" spans="1:5">
      <c r="A4" s="3" t="s">
        <v>17</v>
      </c>
      <c r="B4" s="3" t="s">
        <v>215</v>
      </c>
      <c r="C4" s="3" t="s">
        <v>19</v>
      </c>
      <c r="D4" s="3"/>
      <c r="E4" s="3" t="s">
        <v>330</v>
      </c>
    </row>
    <row r="5" spans="1:5">
      <c r="A5" s="4" t="s">
        <v>22</v>
      </c>
      <c r="B5" s="4" t="s">
        <v>215</v>
      </c>
      <c r="C5" s="4" t="s">
        <v>24</v>
      </c>
      <c r="D5" s="4"/>
      <c r="E5" s="4" t="s">
        <v>331</v>
      </c>
    </row>
    <row r="6" spans="1:5">
      <c r="A6" s="3" t="s">
        <v>27</v>
      </c>
      <c r="B6" s="3" t="s">
        <v>215</v>
      </c>
      <c r="C6" s="3" t="s">
        <v>28</v>
      </c>
      <c r="D6" s="3"/>
      <c r="E6" s="3" t="s">
        <v>332</v>
      </c>
    </row>
    <row r="7" spans="1:5">
      <c r="A7" s="4" t="s">
        <v>31</v>
      </c>
      <c r="B7" s="4" t="s">
        <v>215</v>
      </c>
      <c r="C7" s="4" t="s">
        <v>33</v>
      </c>
      <c r="D7" s="4"/>
      <c r="E7" s="4" t="s">
        <v>333</v>
      </c>
    </row>
    <row r="8" spans="1:5">
      <c r="A8" s="3" t="s">
        <v>36</v>
      </c>
      <c r="B8" s="3" t="s">
        <v>215</v>
      </c>
      <c r="C8" s="3" t="s">
        <v>37</v>
      </c>
      <c r="D8" s="3"/>
      <c r="E8" s="3" t="s">
        <v>334</v>
      </c>
    </row>
    <row r="9" spans="1:5">
      <c r="A9" s="4" t="s">
        <v>40</v>
      </c>
      <c r="B9" s="4" t="s">
        <v>215</v>
      </c>
      <c r="C9" s="4" t="s">
        <v>41</v>
      </c>
      <c r="D9" s="4"/>
      <c r="E9" s="4" t="s">
        <v>335</v>
      </c>
    </row>
    <row r="10" spans="1:5">
      <c r="A10" s="3" t="s">
        <v>44</v>
      </c>
      <c r="B10" s="3" t="s">
        <v>215</v>
      </c>
      <c r="C10" s="3" t="s">
        <v>45</v>
      </c>
      <c r="D10" s="3"/>
      <c r="E10" s="3" t="s">
        <v>336</v>
      </c>
    </row>
    <row r="11" spans="1:5">
      <c r="A11" s="4" t="s">
        <v>48</v>
      </c>
      <c r="B11" s="4" t="s">
        <v>215</v>
      </c>
      <c r="C11" s="4" t="s">
        <v>49</v>
      </c>
      <c r="D11" s="4"/>
      <c r="E11" s="4" t="s">
        <v>337</v>
      </c>
    </row>
    <row r="12" spans="1:5">
      <c r="A12" s="3" t="s">
        <v>52</v>
      </c>
      <c r="B12" s="3" t="s">
        <v>215</v>
      </c>
      <c r="C12" s="3" t="s">
        <v>54</v>
      </c>
      <c r="D12" s="3"/>
      <c r="E12" s="3" t="s">
        <v>338</v>
      </c>
    </row>
    <row r="13" spans="1:5">
      <c r="A13" s="4" t="s">
        <v>57</v>
      </c>
      <c r="B13" s="4" t="s">
        <v>215</v>
      </c>
      <c r="C13" s="4" t="s">
        <v>58</v>
      </c>
      <c r="D13" s="4"/>
      <c r="E13" s="4" t="s">
        <v>339</v>
      </c>
    </row>
    <row r="14" spans="1:5">
      <c r="A14" s="3" t="s">
        <v>61</v>
      </c>
      <c r="B14" s="3" t="s">
        <v>215</v>
      </c>
      <c r="C14" s="3" t="s">
        <v>62</v>
      </c>
      <c r="D14" s="3"/>
      <c r="E14" s="3" t="s">
        <v>340</v>
      </c>
    </row>
    <row r="15" spans="1:5">
      <c r="A15" s="4" t="s">
        <v>65</v>
      </c>
      <c r="B15" s="4" t="s">
        <v>215</v>
      </c>
      <c r="C15" s="4" t="s">
        <v>66</v>
      </c>
      <c r="D15" s="4"/>
      <c r="E15" s="4" t="s">
        <v>341</v>
      </c>
    </row>
    <row r="16" spans="1:5">
      <c r="A16" s="3" t="s">
        <v>69</v>
      </c>
      <c r="B16" s="3" t="s">
        <v>215</v>
      </c>
      <c r="C16" s="3" t="s">
        <v>70</v>
      </c>
      <c r="D16" s="3"/>
      <c r="E16" s="3" t="s">
        <v>342</v>
      </c>
    </row>
    <row r="17" spans="1:5">
      <c r="A17" s="4" t="s">
        <v>73</v>
      </c>
      <c r="B17" s="4" t="s">
        <v>215</v>
      </c>
      <c r="C17" s="4" t="s">
        <v>74</v>
      </c>
      <c r="D17" s="4"/>
      <c r="E17" s="4" t="s">
        <v>343</v>
      </c>
    </row>
    <row r="18" spans="1:5">
      <c r="A18" s="3" t="s">
        <v>77</v>
      </c>
      <c r="B18" s="3" t="s">
        <v>215</v>
      </c>
      <c r="C18" s="3" t="s">
        <v>78</v>
      </c>
      <c r="D18" s="3"/>
      <c r="E18" s="3" t="s">
        <v>344</v>
      </c>
    </row>
    <row r="19" spans="1:5">
      <c r="A19" s="4" t="s">
        <v>81</v>
      </c>
      <c r="B19" s="4" t="s">
        <v>215</v>
      </c>
      <c r="C19" s="4" t="s">
        <v>82</v>
      </c>
      <c r="D19" s="4"/>
      <c r="E19" s="4" t="s">
        <v>345</v>
      </c>
    </row>
    <row r="20" spans="1:5">
      <c r="A20" s="3" t="s">
        <v>85</v>
      </c>
      <c r="B20" s="3" t="s">
        <v>215</v>
      </c>
      <c r="C20" s="3" t="s">
        <v>86</v>
      </c>
      <c r="D20" s="3"/>
      <c r="E20" s="3" t="s">
        <v>346</v>
      </c>
    </row>
    <row r="21" spans="1:5">
      <c r="A21" s="4" t="s">
        <v>89</v>
      </c>
      <c r="B21" s="4" t="s">
        <v>215</v>
      </c>
      <c r="C21" s="4" t="s">
        <v>90</v>
      </c>
      <c r="D21" s="4"/>
      <c r="E21" s="4" t="s">
        <v>347</v>
      </c>
    </row>
    <row r="22" spans="1:5">
      <c r="A22" s="3" t="s">
        <v>93</v>
      </c>
      <c r="B22" s="3" t="s">
        <v>215</v>
      </c>
      <c r="C22" s="3" t="s">
        <v>95</v>
      </c>
      <c r="D22" s="3"/>
      <c r="E22" s="3" t="s">
        <v>348</v>
      </c>
    </row>
    <row r="23" spans="1:5">
      <c r="A23" s="4" t="s">
        <v>98</v>
      </c>
      <c r="B23" s="4" t="s">
        <v>215</v>
      </c>
      <c r="C23" s="4" t="s">
        <v>99</v>
      </c>
      <c r="D23" s="4"/>
      <c r="E23" s="4" t="s">
        <v>349</v>
      </c>
    </row>
    <row r="24" spans="1:5">
      <c r="A24" s="3" t="s">
        <v>102</v>
      </c>
      <c r="B24" s="3" t="s">
        <v>215</v>
      </c>
      <c r="C24" s="3" t="s">
        <v>103</v>
      </c>
      <c r="D24" s="3"/>
      <c r="E24" s="3" t="s">
        <v>350</v>
      </c>
    </row>
    <row r="25" spans="1:5">
      <c r="A25" s="4" t="s">
        <v>106</v>
      </c>
      <c r="B25" s="4" t="s">
        <v>215</v>
      </c>
      <c r="C25" s="4" t="s">
        <v>107</v>
      </c>
      <c r="D25" s="4"/>
      <c r="E25" s="4" t="s">
        <v>351</v>
      </c>
    </row>
    <row r="26" spans="1:5">
      <c r="A26" s="3" t="s">
        <v>110</v>
      </c>
      <c r="B26" s="3" t="s">
        <v>215</v>
      </c>
      <c r="C26" s="3" t="s">
        <v>111</v>
      </c>
      <c r="D26" s="3"/>
      <c r="E26" s="3" t="s">
        <v>352</v>
      </c>
    </row>
    <row r="27" spans="1:5">
      <c r="A27" s="4" t="s">
        <v>114</v>
      </c>
      <c r="B27" s="4" t="s">
        <v>215</v>
      </c>
      <c r="C27" s="4" t="s">
        <v>115</v>
      </c>
      <c r="D27" s="4"/>
      <c r="E27" s="4" t="s">
        <v>353</v>
      </c>
    </row>
    <row r="28" spans="1:5">
      <c r="A28" s="3" t="s">
        <v>118</v>
      </c>
      <c r="B28" s="3" t="s">
        <v>215</v>
      </c>
      <c r="C28" s="3" t="s">
        <v>119</v>
      </c>
      <c r="D28" s="3"/>
      <c r="E28" s="3" t="s">
        <v>354</v>
      </c>
    </row>
    <row r="29" spans="1:5">
      <c r="A29" s="4" t="s">
        <v>122</v>
      </c>
      <c r="B29" s="4" t="s">
        <v>215</v>
      </c>
      <c r="C29" s="4" t="s">
        <v>123</v>
      </c>
      <c r="D29" s="4"/>
      <c r="E29" s="4" t="s">
        <v>355</v>
      </c>
    </row>
    <row r="30" spans="1:5">
      <c r="A30" s="3" t="s">
        <v>126</v>
      </c>
      <c r="B30" s="3" t="s">
        <v>215</v>
      </c>
      <c r="C30" s="3" t="s">
        <v>127</v>
      </c>
      <c r="D30" s="3"/>
      <c r="E30" s="3" t="s">
        <v>356</v>
      </c>
    </row>
    <row r="31" spans="1:5">
      <c r="A31" s="4" t="s">
        <v>130</v>
      </c>
      <c r="B31" s="4" t="s">
        <v>215</v>
      </c>
      <c r="C31" s="4" t="s">
        <v>131</v>
      </c>
      <c r="D31" s="4"/>
      <c r="E31" s="4" t="s">
        <v>357</v>
      </c>
    </row>
    <row r="32" spans="1:5">
      <c r="A32" s="3" t="s">
        <v>134</v>
      </c>
      <c r="B32" s="3" t="s">
        <v>215</v>
      </c>
      <c r="C32" s="3" t="s">
        <v>136</v>
      </c>
      <c r="D32" s="3" t="s">
        <v>137</v>
      </c>
      <c r="E32" s="3" t="s">
        <v>358</v>
      </c>
    </row>
    <row r="33" spans="1:5">
      <c r="A33" s="4" t="s">
        <v>140</v>
      </c>
      <c r="B33" s="4" t="s">
        <v>215</v>
      </c>
      <c r="C33" s="4" t="s">
        <v>141</v>
      </c>
      <c r="D33" s="4" t="s">
        <v>142</v>
      </c>
      <c r="E33" s="4" t="s">
        <v>359</v>
      </c>
    </row>
    <row r="34" spans="1:5">
      <c r="A34" s="3" t="s">
        <v>145</v>
      </c>
      <c r="B34" s="3" t="s">
        <v>215</v>
      </c>
      <c r="C34" s="3" t="s">
        <v>146</v>
      </c>
      <c r="D34" s="3" t="s">
        <v>147</v>
      </c>
      <c r="E34" s="3" t="s">
        <v>360</v>
      </c>
    </row>
    <row r="35" spans="1:5">
      <c r="A35" s="4" t="s">
        <v>150</v>
      </c>
      <c r="B35" s="4" t="s">
        <v>215</v>
      </c>
      <c r="C35" s="4" t="s">
        <v>151</v>
      </c>
      <c r="D35" s="4" t="s">
        <v>152</v>
      </c>
      <c r="E35" s="4" t="s">
        <v>361</v>
      </c>
    </row>
    <row r="36" spans="1:5">
      <c r="A36" s="3" t="s">
        <v>155</v>
      </c>
      <c r="B36" s="3" t="s">
        <v>215</v>
      </c>
      <c r="C36" s="3" t="s">
        <v>156</v>
      </c>
      <c r="D36" s="3" t="s">
        <v>157</v>
      </c>
      <c r="E36" s="3" t="s">
        <v>362</v>
      </c>
    </row>
    <row r="37" spans="1:5">
      <c r="A37" s="4" t="s">
        <v>160</v>
      </c>
      <c r="B37" s="4" t="s">
        <v>215</v>
      </c>
      <c r="C37" s="4" t="s">
        <v>86</v>
      </c>
      <c r="D37" s="4" t="s">
        <v>161</v>
      </c>
      <c r="E37" s="4" t="s">
        <v>363</v>
      </c>
    </row>
    <row r="38" spans="1:5">
      <c r="A38" s="3" t="s">
        <v>164</v>
      </c>
      <c r="B38" s="3" t="s">
        <v>215</v>
      </c>
      <c r="C38" s="3" t="s">
        <v>165</v>
      </c>
      <c r="D38" s="3" t="s">
        <v>166</v>
      </c>
      <c r="E38" s="3" t="s">
        <v>364</v>
      </c>
    </row>
    <row r="39" spans="1:5">
      <c r="A39" s="4" t="s">
        <v>169</v>
      </c>
      <c r="B39" s="4" t="s">
        <v>215</v>
      </c>
      <c r="C39" s="4" t="s">
        <v>170</v>
      </c>
      <c r="D39" s="4" t="s">
        <v>171</v>
      </c>
      <c r="E39" s="4" t="s">
        <v>365</v>
      </c>
    </row>
    <row r="40" spans="1:5">
      <c r="A40" s="3" t="s">
        <v>174</v>
      </c>
      <c r="B40" s="3" t="s">
        <v>215</v>
      </c>
      <c r="C40" s="3" t="s">
        <v>82</v>
      </c>
      <c r="D40" s="3" t="s">
        <v>175</v>
      </c>
      <c r="E40" s="3" t="s">
        <v>366</v>
      </c>
    </row>
    <row r="41" spans="1:5">
      <c r="A41" s="4" t="s">
        <v>178</v>
      </c>
      <c r="B41" s="4" t="s">
        <v>215</v>
      </c>
      <c r="C41" s="4" t="s">
        <v>14</v>
      </c>
      <c r="D41" s="4" t="s">
        <v>179</v>
      </c>
      <c r="E41" s="4" t="s">
        <v>367</v>
      </c>
    </row>
    <row r="42" spans="1:5">
      <c r="A42" s="3" t="s">
        <v>182</v>
      </c>
      <c r="B42" s="3" t="s">
        <v>215</v>
      </c>
      <c r="C42" s="3" t="s">
        <v>183</v>
      </c>
      <c r="D42" s="3"/>
      <c r="E42" s="3" t="s">
        <v>368</v>
      </c>
    </row>
    <row r="43" spans="1:5">
      <c r="A43" s="4" t="s">
        <v>186</v>
      </c>
      <c r="B43" s="4" t="s">
        <v>215</v>
      </c>
      <c r="C43" s="4" t="s">
        <v>187</v>
      </c>
      <c r="D43" s="4"/>
      <c r="E43" s="4" t="s">
        <v>369</v>
      </c>
    </row>
    <row r="44" spans="1:5">
      <c r="A44" s="3" t="s">
        <v>190</v>
      </c>
      <c r="B44" s="3" t="s">
        <v>215</v>
      </c>
      <c r="C44" s="3" t="s">
        <v>191</v>
      </c>
      <c r="D44" s="3"/>
      <c r="E44" s="3" t="s">
        <v>370</v>
      </c>
    </row>
    <row r="45" spans="1:5">
      <c r="A45" s="4" t="s">
        <v>194</v>
      </c>
      <c r="B45" s="4" t="s">
        <v>215</v>
      </c>
      <c r="C45" s="4" t="s">
        <v>195</v>
      </c>
      <c r="D45" s="4" t="s">
        <v>196</v>
      </c>
      <c r="E45" s="4" t="s">
        <v>371</v>
      </c>
    </row>
    <row r="46" spans="1:5">
      <c r="A46" s="3" t="s">
        <v>199</v>
      </c>
      <c r="B46" s="3" t="s">
        <v>215</v>
      </c>
      <c r="C46" s="3" t="s">
        <v>200</v>
      </c>
      <c r="D46" s="3" t="s">
        <v>201</v>
      </c>
      <c r="E46" s="3" t="s">
        <v>372</v>
      </c>
    </row>
    <row r="47" spans="1:5">
      <c r="A47" s="4" t="s">
        <v>17</v>
      </c>
      <c r="B47" s="4" t="s">
        <v>283</v>
      </c>
      <c r="C47" s="4" t="s">
        <v>19</v>
      </c>
      <c r="D47" s="4"/>
      <c r="E47" s="4" t="s">
        <v>373</v>
      </c>
    </row>
    <row r="48" spans="1:5">
      <c r="A48" s="3" t="s">
        <v>22</v>
      </c>
      <c r="B48" s="3" t="s">
        <v>283</v>
      </c>
      <c r="C48" s="3" t="s">
        <v>24</v>
      </c>
      <c r="D48" s="3"/>
      <c r="E48" s="3" t="s">
        <v>374</v>
      </c>
    </row>
    <row r="49" spans="1:5">
      <c r="A49" s="4" t="s">
        <v>44</v>
      </c>
      <c r="B49" s="4" t="s">
        <v>283</v>
      </c>
      <c r="C49" s="4" t="s">
        <v>45</v>
      </c>
      <c r="D49" s="4"/>
      <c r="E49" s="4" t="s">
        <v>375</v>
      </c>
    </row>
    <row r="50" spans="1:5">
      <c r="A50" s="3" t="s">
        <v>69</v>
      </c>
      <c r="B50" s="3" t="s">
        <v>283</v>
      </c>
      <c r="C50" s="3" t="s">
        <v>70</v>
      </c>
      <c r="D50" s="3"/>
      <c r="E50" s="3" t="s">
        <v>376</v>
      </c>
    </row>
    <row r="51" spans="1:5">
      <c r="A51" s="4" t="s">
        <v>81</v>
      </c>
      <c r="B51" s="4" t="s">
        <v>283</v>
      </c>
      <c r="C51" s="4" t="s">
        <v>82</v>
      </c>
      <c r="D51" s="4"/>
      <c r="E51" s="4" t="s">
        <v>377</v>
      </c>
    </row>
    <row r="52" spans="1:5">
      <c r="A52" s="3" t="s">
        <v>89</v>
      </c>
      <c r="B52" s="3" t="s">
        <v>283</v>
      </c>
      <c r="C52" s="3" t="s">
        <v>90</v>
      </c>
      <c r="D52" s="3"/>
      <c r="E52" s="3" t="s">
        <v>378</v>
      </c>
    </row>
    <row r="53" spans="1:5">
      <c r="A53" s="4" t="s">
        <v>98</v>
      </c>
      <c r="B53" s="4" t="s">
        <v>283</v>
      </c>
      <c r="C53" s="4" t="s">
        <v>99</v>
      </c>
      <c r="D53" s="4"/>
      <c r="E53" s="4" t="s">
        <v>379</v>
      </c>
    </row>
    <row r="54" spans="1:5">
      <c r="A54" s="3" t="s">
        <v>102</v>
      </c>
      <c r="B54" s="3" t="s">
        <v>283</v>
      </c>
      <c r="C54" s="3" t="s">
        <v>103</v>
      </c>
      <c r="D54" s="3"/>
      <c r="E54" s="3" t="s">
        <v>380</v>
      </c>
    </row>
    <row r="55" spans="1:5">
      <c r="A55" s="4" t="s">
        <v>110</v>
      </c>
      <c r="B55" s="4" t="s">
        <v>283</v>
      </c>
      <c r="C55" s="4" t="s">
        <v>111</v>
      </c>
      <c r="D55" s="4"/>
      <c r="E55" s="4" t="s">
        <v>381</v>
      </c>
    </row>
    <row r="56" spans="1:5">
      <c r="A56" s="3" t="s">
        <v>114</v>
      </c>
      <c r="B56" s="3" t="s">
        <v>283</v>
      </c>
      <c r="C56" s="3" t="s">
        <v>115</v>
      </c>
      <c r="D56" s="3"/>
      <c r="E56" s="3" t="s">
        <v>382</v>
      </c>
    </row>
    <row r="57" spans="1:5">
      <c r="A57" s="4" t="s">
        <v>122</v>
      </c>
      <c r="B57" s="4" t="s">
        <v>283</v>
      </c>
      <c r="C57" s="4" t="s">
        <v>123</v>
      </c>
      <c r="D57" s="4"/>
      <c r="E57" s="4" t="s">
        <v>383</v>
      </c>
    </row>
    <row r="58" spans="1:5">
      <c r="A58" s="3" t="s">
        <v>130</v>
      </c>
      <c r="B58" s="3" t="s">
        <v>283</v>
      </c>
      <c r="C58" s="3" t="s">
        <v>131</v>
      </c>
      <c r="D58" s="3"/>
      <c r="E58" s="3" t="s">
        <v>384</v>
      </c>
    </row>
    <row r="59" spans="1:5">
      <c r="A59" s="4" t="s">
        <v>150</v>
      </c>
      <c r="B59" s="4" t="s">
        <v>283</v>
      </c>
      <c r="C59" s="4" t="s">
        <v>151</v>
      </c>
      <c r="D59" s="4" t="s">
        <v>152</v>
      </c>
      <c r="E59" s="4" t="s">
        <v>385</v>
      </c>
    </row>
    <row r="60" spans="1:5">
      <c r="A60" s="3" t="s">
        <v>164</v>
      </c>
      <c r="B60" s="3" t="s">
        <v>283</v>
      </c>
      <c r="C60" s="3" t="s">
        <v>165</v>
      </c>
      <c r="D60" s="3" t="s">
        <v>166</v>
      </c>
      <c r="E60" s="3" t="s">
        <v>386</v>
      </c>
    </row>
    <row r="61" spans="1:5">
      <c r="A61" s="4" t="s">
        <v>199</v>
      </c>
      <c r="B61" s="4" t="s">
        <v>283</v>
      </c>
      <c r="C61" s="4" t="s">
        <v>200</v>
      </c>
      <c r="D61" s="4" t="s">
        <v>201</v>
      </c>
      <c r="E61" s="4" t="s">
        <v>387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2026-04-19T17:59:00Z</dcterms:created>
  <dcterms:modified xsi:type="dcterms:W3CDTF">2026-04-19T18:20:33Z</dcterms:modified>
  <cp:category/>
  <cp:contentStatus/>
</cp:coreProperties>
</file>